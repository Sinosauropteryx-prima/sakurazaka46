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autoCompressPictures="0" defaultThemeVersion="202300"/>
  <mc:AlternateContent xmlns:mc="http://schemas.openxmlformats.org/markup-compatibility/2006">
    <mc:Choice Requires="x15">
      <x15ac:absPath xmlns:x15ac="http://schemas.microsoft.com/office/spreadsheetml/2010/11/ac" url="D:\sakurazaka46\subpages\photo\"/>
    </mc:Choice>
  </mc:AlternateContent>
  <xr:revisionPtr revIDLastSave="0" documentId="13_ncr:1_{5543A803-62EE-4A68-8C90-F451EA5680F3}" xr6:coauthVersionLast="47" xr6:coauthVersionMax="47" xr10:uidLastSave="{00000000-0000-0000-0000-000000000000}"/>
  <bookViews>
    <workbookView xWindow="-110" yWindow="-110" windowWidth="19420" windowHeight="11500" activeTab="1" xr2:uid="{82154744-D1A3-4B5D-83DD-F44A82BDE8BA}"/>
  </bookViews>
  <sheets>
    <sheet name="member" sheetId="1" r:id="rId1"/>
    <sheet name="photo" sheetId="3" r:id="rId2"/>
    <sheet name="live" sheetId="2" r:id="rId3"/>
    <sheet name="編集" sheetId="4" r:id="rId4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9" i="1" l="1"/>
  <c r="G29" i="1"/>
  <c r="I28" i="1"/>
  <c r="G28" i="1"/>
  <c r="I27" i="1"/>
  <c r="G27" i="1"/>
  <c r="I26" i="1"/>
  <c r="G26" i="1"/>
  <c r="I25" i="1"/>
  <c r="G25" i="1"/>
  <c r="I24" i="1"/>
  <c r="G24" i="1"/>
  <c r="I23" i="1"/>
  <c r="G23" i="1"/>
  <c r="I22" i="1"/>
  <c r="G22" i="1"/>
  <c r="I21" i="1"/>
  <c r="G21" i="1"/>
  <c r="I20" i="1"/>
  <c r="G20" i="1"/>
  <c r="I19" i="1"/>
  <c r="G19" i="1"/>
  <c r="I18" i="1"/>
  <c r="G18" i="1"/>
  <c r="I17" i="1"/>
  <c r="G17" i="1"/>
  <c r="I16" i="1"/>
  <c r="G16" i="1"/>
  <c r="I15" i="1"/>
  <c r="G15" i="1"/>
  <c r="I14" i="1"/>
  <c r="G14" i="1"/>
  <c r="I13" i="1"/>
  <c r="G13" i="1"/>
  <c r="I12" i="1"/>
  <c r="G12" i="1"/>
  <c r="I11" i="1"/>
  <c r="G11" i="1"/>
  <c r="I10" i="1"/>
  <c r="G10" i="1"/>
  <c r="I9" i="1"/>
  <c r="G9" i="1"/>
  <c r="I8" i="1"/>
  <c r="G8" i="1"/>
  <c r="I7" i="1"/>
  <c r="G7" i="1"/>
  <c r="I6" i="1"/>
  <c r="G6" i="1"/>
  <c r="I5" i="1"/>
  <c r="G5" i="1"/>
  <c r="I4" i="1"/>
  <c r="G4" i="1"/>
  <c r="I3" i="1"/>
  <c r="G3" i="1"/>
  <c r="C2" i="3"/>
  <c r="J2" i="3"/>
  <c r="K2" i="3"/>
  <c r="H2" i="3"/>
  <c r="F2" i="3"/>
  <c r="B2" i="3"/>
  <c r="D2" i="3"/>
  <c r="L2" i="3"/>
  <c r="N2" i="3"/>
  <c r="S2" i="3"/>
  <c r="T2" i="3"/>
  <c r="U2" i="3"/>
  <c r="W2" i="3"/>
  <c r="X2" i="3"/>
  <c r="Z2" i="3"/>
  <c r="O2" i="3"/>
  <c r="P2" i="3"/>
  <c r="Q2" i="3"/>
  <c r="R2" i="3"/>
  <c r="V2" i="3"/>
  <c r="Y2" i="3"/>
  <c r="AA2" i="3"/>
  <c r="AB2" i="3"/>
  <c r="AC2" i="3"/>
  <c r="AD2" i="3"/>
  <c r="AE2" i="3"/>
  <c r="AF2" i="3"/>
  <c r="AG2" i="3"/>
  <c r="AH2" i="3"/>
  <c r="AI2" i="3"/>
  <c r="AJ2" i="3"/>
  <c r="AK2" i="3"/>
  <c r="AL2" i="3"/>
  <c r="M2" i="3"/>
  <c r="AM2" i="3"/>
  <c r="AN2" i="3"/>
  <c r="AO2" i="3"/>
  <c r="AP2" i="3"/>
  <c r="AQ2" i="3"/>
  <c r="AR2" i="3"/>
  <c r="AS2" i="3"/>
  <c r="AT2" i="3"/>
  <c r="AU2" i="3"/>
  <c r="I39" i="1"/>
  <c r="G39" i="1"/>
  <c r="I38" i="1"/>
  <c r="G38" i="1"/>
  <c r="I37" i="1"/>
  <c r="G37" i="1"/>
  <c r="I36" i="1"/>
  <c r="G36" i="1"/>
  <c r="I35" i="1"/>
  <c r="G35" i="1"/>
  <c r="I34" i="1"/>
  <c r="G34" i="1"/>
  <c r="I33" i="1"/>
  <c r="G33" i="1"/>
  <c r="I32" i="1"/>
  <c r="G32" i="1"/>
  <c r="I31" i="1"/>
  <c r="G31" i="1"/>
  <c r="I30" i="1"/>
  <c r="G30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I2" i="3"/>
  <c r="E2" i="3"/>
  <c r="G2" i="3"/>
  <c r="A2" i="3"/>
</calcChain>
</file>

<file path=xl/sharedStrings.xml><?xml version="1.0" encoding="utf-8"?>
<sst xmlns="http://schemas.openxmlformats.org/spreadsheetml/2006/main" count="2439" uniqueCount="247">
  <si>
    <t>名前</t>
  </si>
  <si>
    <t>卒業日</t>
  </si>
  <si>
    <t>加入期</t>
  </si>
  <si>
    <t>誕生日</t>
  </si>
  <si>
    <t>年齢</t>
  </si>
  <si>
    <t>出身地</t>
  </si>
  <si>
    <t>身長</t>
  </si>
  <si>
    <t>Nobody's fault</t>
  </si>
  <si>
    <t>最終の地下鉄に乗って</t>
  </si>
  <si>
    <t>上村 莉菜</t>
  </si>
  <si>
    <t>1期</t>
  </si>
  <si>
    <t>千葉県</t>
  </si>
  <si>
    <t>小池 美波</t>
  </si>
  <si>
    <t>兵庫県</t>
  </si>
  <si>
    <t>Ⅱ</t>
  </si>
  <si>
    <t>齋藤 冬優花</t>
  </si>
  <si>
    <t>東京都</t>
  </si>
  <si>
    <t>井上 梨名</t>
  </si>
  <si>
    <t>2期</t>
  </si>
  <si>
    <t>遠藤 光莉</t>
  </si>
  <si>
    <t>神奈川県</t>
  </si>
  <si>
    <t>大園 玲</t>
  </si>
  <si>
    <t>鹿児島県</t>
  </si>
  <si>
    <t>大沼 晶保</t>
  </si>
  <si>
    <t>静岡県</t>
  </si>
  <si>
    <t>幸阪 茉里乃</t>
  </si>
  <si>
    <t>三重県</t>
  </si>
  <si>
    <t>武元 唯衣</t>
  </si>
  <si>
    <t>滋賀県</t>
  </si>
  <si>
    <t>Ⅲ</t>
  </si>
  <si>
    <t>田村 保乃</t>
  </si>
  <si>
    <t>大阪府</t>
  </si>
  <si>
    <t>藤吉 夏鈴</t>
  </si>
  <si>
    <t>増本 綺良</t>
  </si>
  <si>
    <t>松田 里奈</t>
  </si>
  <si>
    <t>宮崎県</t>
  </si>
  <si>
    <t>森田 ひかる</t>
  </si>
  <si>
    <t>福岡県</t>
  </si>
  <si>
    <t>C</t>
  </si>
  <si>
    <t>守屋 麗奈</t>
  </si>
  <si>
    <t>石森 璃花</t>
  </si>
  <si>
    <t>3期</t>
  </si>
  <si>
    <t>群馬県</t>
  </si>
  <si>
    <t>遠藤 理子</t>
  </si>
  <si>
    <t>埼玉県</t>
  </si>
  <si>
    <t>長野県</t>
  </si>
  <si>
    <t>山口県</t>
  </si>
  <si>
    <t>広島県</t>
  </si>
  <si>
    <t>京都府</t>
  </si>
  <si>
    <t>Ⅰ</t>
  </si>
  <si>
    <t>茨城県</t>
  </si>
  <si>
    <t>宮城県</t>
  </si>
  <si>
    <t>Plastic regret</t>
  </si>
  <si>
    <t>Buddies</t>
  </si>
  <si>
    <t>半信半疑</t>
  </si>
  <si>
    <t>BAN</t>
  </si>
  <si>
    <t>君と僕と洗濯物</t>
  </si>
  <si>
    <t>偶然の答え</t>
  </si>
  <si>
    <t>Microscope</t>
  </si>
  <si>
    <t>思ったよりも寂しくない</t>
  </si>
  <si>
    <t>それが愛なのね</t>
  </si>
  <si>
    <t>櫻坂の詩</t>
  </si>
  <si>
    <t>流れ弾</t>
  </si>
  <si>
    <t>美しきNervous</t>
  </si>
  <si>
    <t>Dead end</t>
  </si>
  <si>
    <t>ソニア</t>
  </si>
  <si>
    <t>On my way</t>
  </si>
  <si>
    <t>無言の宇宙</t>
  </si>
  <si>
    <t>五月雨よ</t>
  </si>
  <si>
    <t>僕のジレンマ</t>
  </si>
  <si>
    <t>I'm in</t>
  </si>
  <si>
    <t>断絶</t>
  </si>
  <si>
    <t>制服の人魚</t>
  </si>
  <si>
    <t>車間距離</t>
  </si>
  <si>
    <t>恋が絶滅する日</t>
  </si>
  <si>
    <t>摩擦係数</t>
  </si>
  <si>
    <t>条件反射で泣けてくる</t>
  </si>
  <si>
    <t>One-way stairs</t>
  </si>
  <si>
    <t>タイムマシンでYeah!</t>
  </si>
  <si>
    <t>ずっと 春だったらなあ</t>
  </si>
  <si>
    <t>桜月</t>
  </si>
  <si>
    <t>Cool</t>
  </si>
  <si>
    <t>無念</t>
  </si>
  <si>
    <t>もしかしたら真実</t>
  </si>
  <si>
    <t>魂のLiar</t>
  </si>
  <si>
    <t>夏の近道</t>
  </si>
  <si>
    <t>その日まで</t>
  </si>
  <si>
    <t>Start over!</t>
  </si>
  <si>
    <t>静寂の暴力</t>
  </si>
  <si>
    <t>風の音</t>
  </si>
  <si>
    <t>Anthem time</t>
  </si>
  <si>
    <t>一瞬の馬</t>
  </si>
  <si>
    <t>承認欲求</t>
  </si>
  <si>
    <t>マモリビト</t>
  </si>
  <si>
    <t>確信的クロワッサン</t>
  </si>
  <si>
    <t>僕たちの La vie en rose</t>
  </si>
  <si>
    <t>Don't cut in line!</t>
  </si>
  <si>
    <t>隙間風よ</t>
  </si>
  <si>
    <t>何度　LOVE SONGの歌詞を読み返しただろう</t>
  </si>
  <si>
    <t>真夏に何か起きるのかしら</t>
  </si>
  <si>
    <t>心の影絵</t>
  </si>
  <si>
    <t>恋は向いてない</t>
  </si>
  <si>
    <t>泣かせて　Hold me tight！</t>
  </si>
  <si>
    <t>〇</t>
  </si>
  <si>
    <t>山﨑 天</t>
  </si>
  <si>
    <t>小田倉 麗奈</t>
  </si>
  <si>
    <t>小島 凪紗</t>
  </si>
  <si>
    <t>谷口 愛季</t>
  </si>
  <si>
    <t>中嶋 優月</t>
  </si>
  <si>
    <t>的野 美青</t>
  </si>
  <si>
    <t>向井 純葉</t>
  </si>
  <si>
    <t>村井 優</t>
  </si>
  <si>
    <t>村山 美羽</t>
  </si>
  <si>
    <t>山下 瞳月</t>
  </si>
  <si>
    <t>小林 由依</t>
  </si>
  <si>
    <t>土生 瑞穂</t>
  </si>
  <si>
    <t>関 有美子</t>
  </si>
  <si>
    <t>菅井 友香</t>
  </si>
  <si>
    <t>尾関 梨香</t>
  </si>
  <si>
    <t>原田 葵</t>
  </si>
  <si>
    <t>渡邉 理佐</t>
  </si>
  <si>
    <t>守屋 茜</t>
  </si>
  <si>
    <t>渡辺 梨加</t>
  </si>
  <si>
    <t>松平 璃子</t>
  </si>
  <si>
    <t>うえむらりな</t>
  </si>
  <si>
    <t>こいけみなみ</t>
  </si>
  <si>
    <t>さいとうふゆか</t>
  </si>
  <si>
    <t>いのうえりな</t>
  </si>
  <si>
    <t>えんどうひかり</t>
  </si>
  <si>
    <t>おおぞのれい</t>
  </si>
  <si>
    <t>おおぬまあきほ</t>
  </si>
  <si>
    <t>こうさかまりの</t>
  </si>
  <si>
    <t>たけもとゆい</t>
  </si>
  <si>
    <t>たむらほの</t>
  </si>
  <si>
    <t>ふじよしかりん</t>
  </si>
  <si>
    <t>ますもときら</t>
  </si>
  <si>
    <t>まつだりな</t>
  </si>
  <si>
    <t>もりたひかる</t>
  </si>
  <si>
    <t>もりやれな</t>
  </si>
  <si>
    <t>やまさきてん</t>
  </si>
  <si>
    <t>いしもりりか</t>
  </si>
  <si>
    <t>えんどうりこ</t>
  </si>
  <si>
    <t>おだくられいな</t>
  </si>
  <si>
    <t>こじまなぎさ</t>
  </si>
  <si>
    <t>たにぐちあいり</t>
  </si>
  <si>
    <t>なかしまゆづき</t>
  </si>
  <si>
    <t>まとのみお</t>
  </si>
  <si>
    <t>むかいいとは</t>
  </si>
  <si>
    <t>むらいゆう</t>
  </si>
  <si>
    <t>むらやまみう</t>
  </si>
  <si>
    <t>やましたしづき</t>
  </si>
  <si>
    <t>こばやしゆい</t>
  </si>
  <si>
    <t>はぶみずほ</t>
  </si>
  <si>
    <t>せきゆみこ</t>
  </si>
  <si>
    <t>すがいゆうか</t>
  </si>
  <si>
    <t>おぜきりか</t>
  </si>
  <si>
    <t>はらだあおい</t>
  </si>
  <si>
    <t>わたなべりさ</t>
  </si>
  <si>
    <t>もりやあかね</t>
  </si>
  <si>
    <t>わたなべりか</t>
  </si>
  <si>
    <t>まつだいらりこ</t>
  </si>
  <si>
    <t>[1st single]</t>
  </si>
  <si>
    <t>[2nd single]</t>
  </si>
  <si>
    <t>[3rd single]</t>
  </si>
  <si>
    <t>[4th single]</t>
  </si>
  <si>
    <t>[1st album]</t>
  </si>
  <si>
    <t>[5th single]</t>
  </si>
  <si>
    <t>[6th single]</t>
  </si>
  <si>
    <t>[7th single]</t>
  </si>
  <si>
    <t>[8th single]</t>
  </si>
  <si>
    <t>[9th single]</t>
  </si>
  <si>
    <t>イベント名</t>
    <rPh sb="4" eb="5">
      <t>メイ</t>
    </rPh>
    <phoneticPr fontId="1"/>
  </si>
  <si>
    <t>サブグループ</t>
    <phoneticPr fontId="1"/>
  </si>
  <si>
    <t>撮影日</t>
    <rPh sb="0" eb="3">
      <t>サツエイビ</t>
    </rPh>
    <phoneticPr fontId="1"/>
  </si>
  <si>
    <t>拡張子</t>
    <rPh sb="0" eb="3">
      <t>カクチョウシ</t>
    </rPh>
    <phoneticPr fontId="1"/>
  </si>
  <si>
    <t>ファイル名[枚数]</t>
    <rPh sb="4" eb="5">
      <t>メイ</t>
    </rPh>
    <rPh sb="6" eb="8">
      <t>マイスウ</t>
    </rPh>
    <phoneticPr fontId="1"/>
  </si>
  <si>
    <t>休養</t>
  </si>
  <si>
    <t>ー</t>
  </si>
  <si>
    <t>ふりがな</t>
    <phoneticPr fontId="1"/>
  </si>
  <si>
    <t>加入日</t>
    <phoneticPr fontId="1"/>
  </si>
  <si>
    <t>都道府県番号</t>
    <rPh sb="0" eb="6">
      <t>トドウフケンバンゴウ</t>
    </rPh>
    <phoneticPr fontId="1"/>
  </si>
  <si>
    <t>ブルームーンキス</t>
    <phoneticPr fontId="1"/>
  </si>
  <si>
    <t>なぜ　恋をして来なかったんだろう？</t>
    <phoneticPr fontId="1"/>
  </si>
  <si>
    <t>ジャマイカビール</t>
    <phoneticPr fontId="1"/>
  </si>
  <si>
    <t>コンビナート</t>
    <phoneticPr fontId="1"/>
  </si>
  <si>
    <t>ドローン旋回中</t>
    <phoneticPr fontId="1"/>
  </si>
  <si>
    <t>マンホールの蓋の上</t>
    <phoneticPr fontId="1"/>
  </si>
  <si>
    <t>君がサヨナラ言えたって・・・</t>
    <phoneticPr fontId="1"/>
  </si>
  <si>
    <t>何歳の頃に戻りたいのか？</t>
    <phoneticPr fontId="1"/>
  </si>
  <si>
    <t>油を注せ！</t>
    <phoneticPr fontId="1"/>
  </si>
  <si>
    <t>[9th single]</t>
    <phoneticPr fontId="1"/>
  </si>
  <si>
    <t>自業自得</t>
    <rPh sb="0" eb="4">
      <t>ジゴウジトク</t>
    </rPh>
    <phoneticPr fontId="1"/>
  </si>
  <si>
    <t>引きこもる時間はない</t>
    <rPh sb="0" eb="1">
      <t>ヒ</t>
    </rPh>
    <rPh sb="5" eb="7">
      <t>ジカン</t>
    </rPh>
    <phoneticPr fontId="1"/>
  </si>
  <si>
    <t>愛し合いなさい</t>
    <rPh sb="0" eb="1">
      <t>アイ</t>
    </rPh>
    <rPh sb="2" eb="3">
      <t>ア</t>
    </rPh>
    <phoneticPr fontId="1"/>
  </si>
  <si>
    <t>イザベルについて</t>
    <phoneticPr fontId="1"/>
  </si>
  <si>
    <t>縁起担ぎ</t>
    <rPh sb="0" eb="3">
      <t>エンギカツ</t>
    </rPh>
    <phoneticPr fontId="1"/>
  </si>
  <si>
    <t>標識</t>
    <rPh sb="0" eb="2">
      <t>ヒョウシキ</t>
    </rPh>
    <phoneticPr fontId="1"/>
  </si>
  <si>
    <t>Ⅱ</t>
    <phoneticPr fontId="1"/>
  </si>
  <si>
    <t>〇</t>
    <phoneticPr fontId="1"/>
  </si>
  <si>
    <t>ー</t>
    <phoneticPr fontId="1"/>
  </si>
  <si>
    <t>C</t>
    <phoneticPr fontId="1"/>
  </si>
  <si>
    <t>共通カップリングのみ</t>
    <rPh sb="0" eb="2">
      <t>キョウツウ</t>
    </rPh>
    <phoneticPr fontId="1"/>
  </si>
  <si>
    <t>表題曲・共通カップリングのみ</t>
    <rPh sb="0" eb="3">
      <t>ヒョウダイキョク</t>
    </rPh>
    <rPh sb="4" eb="6">
      <t>キョウツウ</t>
    </rPh>
    <phoneticPr fontId="1"/>
  </si>
  <si>
    <t>最新更新</t>
    <rPh sb="0" eb="4">
      <t>サイシンコウシン</t>
    </rPh>
    <phoneticPr fontId="1"/>
  </si>
  <si>
    <t>田村保乃2nd写真集『隣の席になりたい』発売記念パネル展</t>
    <phoneticPr fontId="1"/>
  </si>
  <si>
    <t>SHIBUYA TSUTAYA</t>
    <phoneticPr fontId="1"/>
  </si>
  <si>
    <t>イベントのフォルダ名</t>
    <rPh sb="9" eb="10">
      <t>メイ</t>
    </rPh>
    <phoneticPr fontId="1"/>
  </si>
  <si>
    <t>サブグループのフォルダ名</t>
    <rPh sb="11" eb="12">
      <t>メイ</t>
    </rPh>
    <phoneticPr fontId="1"/>
  </si>
  <si>
    <t>ファイル名</t>
    <rPh sb="4" eb="5">
      <t>メイ</t>
    </rPh>
    <phoneticPr fontId="1"/>
  </si>
  <si>
    <t>SHIBUYA_TSUTAYA</t>
    <phoneticPr fontId="1"/>
  </si>
  <si>
    <t>10thシングル『I want tomorrow to come』パネル展示</t>
    <phoneticPr fontId="1"/>
  </si>
  <si>
    <t>10thシングル『I_want_tomorrow_to_come』パネル展示</t>
    <phoneticPr fontId="1"/>
  </si>
  <si>
    <t>I want tomorrow to come パネル[63]</t>
    <phoneticPr fontId="1"/>
  </si>
  <si>
    <t>I_want_tomorrow_to_come_パネル</t>
    <phoneticPr fontId="1"/>
  </si>
  <si>
    <t>僕は僕を好きになれない パネル[74]</t>
    <phoneticPr fontId="1"/>
  </si>
  <si>
    <t>僕は僕を好きになれない_パネル</t>
    <phoneticPr fontId="1"/>
  </si>
  <si>
    <t>メンバーパネル[134]</t>
    <phoneticPr fontId="1"/>
  </si>
  <si>
    <t>メンバーパネル</t>
    <phoneticPr fontId="1"/>
  </si>
  <si>
    <t>メンバーフラッグ[30]</t>
    <phoneticPr fontId="1"/>
  </si>
  <si>
    <t>メンバーフラッグ</t>
    <phoneticPr fontId="1"/>
  </si>
  <si>
    <t>イベント開始日</t>
    <rPh sb="4" eb="7">
      <t>カイシビ</t>
    </rPh>
    <phoneticPr fontId="1"/>
  </si>
  <si>
    <t>jpg</t>
    <phoneticPr fontId="1"/>
  </si>
  <si>
    <t>櫻坂46展「新せ界」</t>
    <phoneticPr fontId="1"/>
  </si>
  <si>
    <t>展示[83]</t>
    <phoneticPr fontId="1"/>
  </si>
  <si>
    <t>展示</t>
    <phoneticPr fontId="1"/>
  </si>
  <si>
    <t>別日[68]</t>
    <phoneticPr fontId="1"/>
  </si>
  <si>
    <t>別日</t>
    <phoneticPr fontId="1"/>
  </si>
  <si>
    <t>新参者 in TOKYU KABUKICHO TOWER</t>
    <phoneticPr fontId="1"/>
  </si>
  <si>
    <t>新参者_in_TOKYU_KABUKICHO_TOWER</t>
    <phoneticPr fontId="1"/>
  </si>
  <si>
    <t>新参者 in TOKYU KABUKICHO TOWER[14]</t>
    <phoneticPr fontId="1"/>
  </si>
  <si>
    <t>新米記者トロッ子</t>
    <phoneticPr fontId="1"/>
  </si>
  <si>
    <t>新宿テアトル[27]</t>
    <phoneticPr fontId="1"/>
  </si>
  <si>
    <t>新宿テアトル</t>
    <phoneticPr fontId="1"/>
  </si>
  <si>
    <t>サクラミーツ食堂</t>
    <phoneticPr fontId="1"/>
  </si>
  <si>
    <t>サクラミーツ食堂[9]</t>
    <phoneticPr fontId="1"/>
  </si>
  <si>
    <t>ARTBAY TOKYOアートフェスティバル2024</t>
    <phoneticPr fontId="1"/>
  </si>
  <si>
    <t>ARTBAY_TOKYOアートフェスティバル2024</t>
    <phoneticPr fontId="1"/>
  </si>
  <si>
    <t>ARTBAY TOKYOアートフェスティバル2024[50]</t>
    <phoneticPr fontId="1"/>
  </si>
  <si>
    <t>SHIBUYA TSUTAYA[27]</t>
    <phoneticPr fontId="1"/>
  </si>
  <si>
    <t>『YUI KOBAYASHI GRADUATION CONCERT』発売記念パネル展</t>
    <phoneticPr fontId="1"/>
  </si>
  <si>
    <t>『YUI_KOBAYASHI_GRADUATION_CONCERT』発売記念パネル展</t>
    <phoneticPr fontId="1"/>
  </si>
  <si>
    <t>SHIBUYA TSUTAYA[42]</t>
    <phoneticPr fontId="1"/>
  </si>
  <si>
    <t>タワーレコード渋谷店</t>
    <phoneticPr fontId="1"/>
  </si>
  <si>
    <t>タワーレコード渋谷店[4]</t>
    <phoneticPr fontId="1"/>
  </si>
  <si>
    <t>Venue101 EXTRA 特別展示会</t>
    <phoneticPr fontId="1"/>
  </si>
  <si>
    <t>Venue101_EXTRA_特別展示会</t>
    <phoneticPr fontId="1"/>
  </si>
  <si>
    <t>Venue101 EXTRA 特別展示会[6]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</si>
</sst>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Zen Maru Gothic"/>
      <family val="3"/>
      <charset val="128"/>
    </font>
    <font>
      <sz val="11"/>
      <color theme="0" tint="-0.34998626667073579"/>
      <name val="Zen Maru Gothic"/>
      <family val="3"/>
      <charset val="128"/>
    </font>
    <font>
      <sz val="10"/>
      <color rgb="FF000000"/>
      <name val="Zen Maru Gothic"/>
      <family val="3"/>
      <charset val="128"/>
    </font>
    <font>
      <sz val="11"/>
      <color rgb="FF242424"/>
      <name val="Zen Mar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>
      <alignment vertical="center"/>
    </xf>
    <xf numFmtId="14" fontId="2" fillId="3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3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22" fontId="2" fillId="0" borderId="1" xfId="0" applyNumberFormat="1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</cellXfs>
  <cellStyles count="1">
    <cellStyle name="標準" xfId="0" builtinId="0"/>
  </cellStyles>
  <dxfs count="2">
    <dxf>
      <font>
        <color rgb="FFFF0000"/>
      </font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1</xdr:row>
      <xdr:rowOff>0</xdr:rowOff>
    </xdr:from>
    <xdr:to>
      <xdr:col>0</xdr:col>
      <xdr:colOff>654050</xdr:colOff>
      <xdr:row>2</xdr:row>
      <xdr:rowOff>0</xdr:rowOff>
    </xdr:to>
    <xdr:sp macro="[0]!ShowEventFo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F89CF62-6056-E39A-C00A-9C1B681FA866}"/>
            </a:ext>
          </a:extLst>
        </xdr:cNvPr>
        <xdr:cNvSpPr/>
      </xdr:nvSpPr>
      <xdr:spPr>
        <a:xfrm>
          <a:off x="146050" y="234950"/>
          <a:ext cx="508000" cy="2413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latin typeface="Zen Maru Gothic" pitchFamily="2" charset="-128"/>
              <a:ea typeface="Zen Maru Gothic" pitchFamily="2" charset="-128"/>
            </a:rPr>
            <a:t>登録</a:t>
          </a:r>
        </a:p>
      </xdr:txBody>
    </xdr:sp>
    <xdr:clientData/>
  </xdr:twoCellAnchor>
  <xdr:twoCellAnchor>
    <xdr:from>
      <xdr:col>0</xdr:col>
      <xdr:colOff>3403600</xdr:colOff>
      <xdr:row>1</xdr:row>
      <xdr:rowOff>0</xdr:rowOff>
    </xdr:from>
    <xdr:to>
      <xdr:col>0</xdr:col>
      <xdr:colOff>3911600</xdr:colOff>
      <xdr:row>2</xdr:row>
      <xdr:rowOff>0</xdr:rowOff>
    </xdr:to>
    <xdr:sp macro="[0]!photo_csvSave_UTF8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4F012D13-DE09-4EAE-AEA0-F4E0B7B83984}"/>
            </a:ext>
          </a:extLst>
        </xdr:cNvPr>
        <xdr:cNvSpPr/>
      </xdr:nvSpPr>
      <xdr:spPr>
        <a:xfrm>
          <a:off x="3403600" y="234950"/>
          <a:ext cx="508000" cy="23495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latin typeface="Zen Maru Gothic" pitchFamily="2" charset="-128"/>
              <a:ea typeface="Zen Maru Gothic" pitchFamily="2" charset="-128"/>
            </a:rPr>
            <a:t>保存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A78FA-3A4C-4D6E-AC97-0B209E313EAB}">
  <sheetPr codeName="Sheet1"/>
  <dimension ref="A1:CJ39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5" sqref="D5"/>
    </sheetView>
  </sheetViews>
  <sheetFormatPr defaultRowHeight="18.5" x14ac:dyDescent="0.55000000000000004"/>
  <cols>
    <col min="1" max="1" width="11.1640625" style="29" bestFit="1" customWidth="1"/>
    <col min="2" max="2" width="14.6640625" style="26" bestFit="1" customWidth="1"/>
    <col min="3" max="4" width="9.75" style="20" bestFit="1" customWidth="1"/>
    <col min="5" max="5" width="6.9140625" style="20" bestFit="1" customWidth="1"/>
    <col min="6" max="6" width="10" style="20" bestFit="1" customWidth="1"/>
    <col min="7" max="7" width="8.75" style="20" bestFit="1" customWidth="1"/>
    <col min="8" max="8" width="8.83203125" style="20" bestFit="1" customWidth="1"/>
    <col min="9" max="9" width="12.75" style="20" bestFit="1" customWidth="1"/>
    <col min="10" max="10" width="6.25" style="20" bestFit="1" customWidth="1"/>
    <col min="11" max="11" width="10.75" style="23" bestFit="1" customWidth="1"/>
    <col min="12" max="12" width="13.75" style="20" bestFit="1" customWidth="1"/>
    <col min="13" max="13" width="16.75" style="20" bestFit="1" customWidth="1"/>
    <col min="14" max="14" width="20.75" style="20" bestFit="1" customWidth="1"/>
    <col min="15" max="15" width="34.75" style="20" bestFit="1" customWidth="1"/>
    <col min="16" max="16" width="13.33203125" style="20" bestFit="1" customWidth="1"/>
    <col min="17" max="17" width="8" style="20" bestFit="1" customWidth="1"/>
    <col min="18" max="18" width="8.83203125" style="20" bestFit="1" customWidth="1"/>
    <col min="19" max="19" width="11.4140625" style="23" bestFit="1" customWidth="1"/>
    <col min="20" max="20" width="5" style="20" bestFit="1" customWidth="1"/>
    <col min="21" max="21" width="14.6640625" style="20" bestFit="1" customWidth="1"/>
    <col min="22" max="23" width="10.6640625" style="20" bestFit="1" customWidth="1"/>
    <col min="24" max="24" width="22.75" style="20" bestFit="1" customWidth="1"/>
    <col min="25" max="25" width="14.6640625" style="20" bestFit="1" customWidth="1"/>
    <col min="26" max="26" width="8.83203125" style="20" bestFit="1" customWidth="1"/>
    <col min="27" max="27" width="11.1640625" style="23" bestFit="1" customWidth="1"/>
    <col min="28" max="28" width="6.9140625" style="20" bestFit="1" customWidth="1"/>
    <col min="29" max="29" width="13.83203125" style="20" bestFit="1" customWidth="1"/>
    <col min="30" max="30" width="10" style="20" bestFit="1" customWidth="1"/>
    <col min="31" max="31" width="6.9140625" style="20" bestFit="1" customWidth="1"/>
    <col min="32" max="32" width="16.75" style="20" bestFit="1" customWidth="1"/>
    <col min="33" max="33" width="11.83203125" style="20" bestFit="1" customWidth="1"/>
    <col min="34" max="34" width="10.6640625" style="20" bestFit="1" customWidth="1"/>
    <col min="35" max="35" width="11.08203125" style="23" bestFit="1" customWidth="1"/>
    <col min="36" max="36" width="20.75" style="20" bestFit="1" customWidth="1"/>
    <col min="37" max="37" width="12.75" style="20" bestFit="1" customWidth="1"/>
    <col min="38" max="42" width="28.83203125" style="20" bestFit="1" customWidth="1"/>
    <col min="43" max="43" width="11" style="23" bestFit="1" customWidth="1"/>
    <col min="44" max="44" width="8.83203125" style="20" bestFit="1" customWidth="1"/>
    <col min="45" max="45" width="20.75" style="20" bestFit="1" customWidth="1"/>
    <col min="46" max="46" width="14.75" style="20" bestFit="1" customWidth="1"/>
    <col min="47" max="47" width="19.58203125" style="20" bestFit="1" customWidth="1"/>
    <col min="48" max="48" width="22.1640625" style="20" bestFit="1" customWidth="1"/>
    <col min="49" max="49" width="11.08203125" style="23" bestFit="1" customWidth="1"/>
    <col min="50" max="50" width="5.08203125" style="20" bestFit="1" customWidth="1"/>
    <col min="51" max="51" width="5" style="20" bestFit="1" customWidth="1"/>
    <col min="52" max="52" width="5.08203125" style="20" bestFit="1" customWidth="1"/>
    <col min="53" max="53" width="16.75" style="20" bestFit="1" customWidth="1"/>
    <col min="54" max="54" width="8.33203125" style="20" bestFit="1" customWidth="1"/>
    <col min="55" max="55" width="8.83203125" style="20" bestFit="1" customWidth="1"/>
    <col min="56" max="56" width="10.6640625" style="20" bestFit="1" customWidth="1"/>
    <col min="57" max="57" width="11.08203125" style="23" bestFit="1" customWidth="1"/>
    <col min="58" max="58" width="10.4140625" style="20" bestFit="1" customWidth="1"/>
    <col min="59" max="59" width="10.6640625" style="20" bestFit="1" customWidth="1"/>
    <col min="60" max="60" width="6.9140625" style="20" bestFit="1" customWidth="1"/>
    <col min="61" max="62" width="12.75" style="20" bestFit="1" customWidth="1"/>
    <col min="63" max="63" width="8.83203125" style="20" bestFit="1" customWidth="1"/>
    <col min="64" max="64" width="14.6640625" style="20" bestFit="1" customWidth="1"/>
    <col min="65" max="65" width="11" style="23" bestFit="1" customWidth="1"/>
    <col min="66" max="66" width="8.83203125" style="20" bestFit="1" customWidth="1"/>
    <col min="67" max="67" width="10.6640625" style="20" bestFit="1" customWidth="1"/>
    <col min="68" max="68" width="18.75" style="20" bestFit="1" customWidth="1"/>
    <col min="69" max="69" width="24.9140625" style="20" bestFit="1" customWidth="1"/>
    <col min="70" max="70" width="16.33203125" style="20" bestFit="1" customWidth="1"/>
    <col min="71" max="71" width="18.75" style="20" bestFit="1" customWidth="1"/>
    <col min="72" max="72" width="8.83203125" style="20" bestFit="1" customWidth="1"/>
    <col min="73" max="73" width="28.83203125" style="20" bestFit="1" customWidth="1"/>
    <col min="74" max="74" width="11.1640625" style="23" bestFit="1" customWidth="1"/>
    <col min="75" max="75" width="24.75" style="20" bestFit="1" customWidth="1"/>
    <col min="76" max="76" width="42.1640625" style="20" bestFit="1" customWidth="1"/>
    <col min="77" max="77" width="10.6640625" style="20" bestFit="1" customWidth="1"/>
    <col min="78" max="78" width="24.75" style="20" bestFit="1" customWidth="1"/>
    <col min="79" max="79" width="8.83203125" style="20" bestFit="1" customWidth="1"/>
    <col min="80" max="80" width="14.6640625" style="20" bestFit="1" customWidth="1"/>
    <col min="81" max="81" width="24.5" style="20" bestFit="1" customWidth="1"/>
    <col min="82" max="82" width="11.08203125" style="20" bestFit="1" customWidth="1"/>
    <col min="83" max="83" width="8.83203125" style="20" bestFit="1" customWidth="1"/>
    <col min="84" max="84" width="20.75" style="20" bestFit="1" customWidth="1"/>
    <col min="85" max="85" width="14.6640625" style="20" bestFit="1" customWidth="1"/>
    <col min="86" max="86" width="16.75" style="20" bestFit="1" customWidth="1"/>
    <col min="87" max="87" width="8.83203125" style="20" bestFit="1" customWidth="1"/>
    <col min="88" max="88" width="5.08203125" style="20" bestFit="1" customWidth="1"/>
    <col min="89" max="16384" width="8.6640625" style="20"/>
  </cols>
  <sheetData>
    <row r="1" spans="1:88" s="14" customFormat="1" x14ac:dyDescent="0.55000000000000004">
      <c r="A1" s="27" t="s">
        <v>0</v>
      </c>
      <c r="B1" s="24" t="s">
        <v>178</v>
      </c>
      <c r="C1" s="14" t="s">
        <v>179</v>
      </c>
      <c r="D1" s="14" t="s">
        <v>1</v>
      </c>
      <c r="E1" s="14" t="s">
        <v>2</v>
      </c>
      <c r="F1" s="14" t="s">
        <v>3</v>
      </c>
      <c r="G1" s="14" t="s">
        <v>4</v>
      </c>
      <c r="H1" s="14" t="s">
        <v>5</v>
      </c>
      <c r="I1" s="14" t="s">
        <v>180</v>
      </c>
      <c r="J1" s="14" t="s">
        <v>6</v>
      </c>
      <c r="K1" s="15" t="s">
        <v>161</v>
      </c>
      <c r="L1" s="14" t="s">
        <v>7</v>
      </c>
      <c r="M1" s="14" t="s">
        <v>181</v>
      </c>
      <c r="N1" s="14" t="s">
        <v>8</v>
      </c>
      <c r="O1" s="14" t="s">
        <v>182</v>
      </c>
      <c r="P1" s="14" t="s">
        <v>52</v>
      </c>
      <c r="Q1" s="14" t="s">
        <v>53</v>
      </c>
      <c r="R1" s="14" t="s">
        <v>54</v>
      </c>
      <c r="S1" s="15" t="s">
        <v>162</v>
      </c>
      <c r="T1" s="14" t="s">
        <v>55</v>
      </c>
      <c r="U1" s="14" t="s">
        <v>56</v>
      </c>
      <c r="V1" s="14" t="s">
        <v>57</v>
      </c>
      <c r="W1" s="14" t="s">
        <v>58</v>
      </c>
      <c r="X1" s="14" t="s">
        <v>59</v>
      </c>
      <c r="Y1" s="14" t="s">
        <v>60</v>
      </c>
      <c r="Z1" s="14" t="s">
        <v>61</v>
      </c>
      <c r="AA1" s="15" t="s">
        <v>163</v>
      </c>
      <c r="AB1" s="14" t="s">
        <v>62</v>
      </c>
      <c r="AC1" s="14" t="s">
        <v>63</v>
      </c>
      <c r="AD1" s="14" t="s">
        <v>64</v>
      </c>
      <c r="AE1" s="14" t="s">
        <v>65</v>
      </c>
      <c r="AF1" s="14" t="s">
        <v>183</v>
      </c>
      <c r="AG1" s="14" t="s">
        <v>66</v>
      </c>
      <c r="AH1" s="14" t="s">
        <v>67</v>
      </c>
      <c r="AI1" s="15" t="s">
        <v>164</v>
      </c>
      <c r="AJ1" s="14" t="s">
        <v>68</v>
      </c>
      <c r="AK1" s="14" t="s">
        <v>69</v>
      </c>
      <c r="AL1" s="14" t="s">
        <v>70</v>
      </c>
      <c r="AM1" s="14" t="s">
        <v>71</v>
      </c>
      <c r="AN1" s="14" t="s">
        <v>72</v>
      </c>
      <c r="AO1" s="14" t="s">
        <v>73</v>
      </c>
      <c r="AP1" s="14" t="s">
        <v>74</v>
      </c>
      <c r="AQ1" s="15" t="s">
        <v>165</v>
      </c>
      <c r="AR1" s="14" t="s">
        <v>75</v>
      </c>
      <c r="AS1" s="14" t="s">
        <v>76</v>
      </c>
      <c r="AT1" s="14" t="s">
        <v>77</v>
      </c>
      <c r="AU1" s="14" t="s">
        <v>78</v>
      </c>
      <c r="AV1" s="14" t="s">
        <v>79</v>
      </c>
      <c r="AW1" s="15" t="s">
        <v>166</v>
      </c>
      <c r="AX1" s="14" t="s">
        <v>80</v>
      </c>
      <c r="AY1" s="14" t="s">
        <v>81</v>
      </c>
      <c r="AZ1" s="14" t="s">
        <v>82</v>
      </c>
      <c r="BA1" s="14" t="s">
        <v>83</v>
      </c>
      <c r="BB1" s="14" t="s">
        <v>84</v>
      </c>
      <c r="BC1" s="14" t="s">
        <v>85</v>
      </c>
      <c r="BD1" s="14" t="s">
        <v>86</v>
      </c>
      <c r="BE1" s="15" t="s">
        <v>167</v>
      </c>
      <c r="BF1" s="14" t="s">
        <v>87</v>
      </c>
      <c r="BG1" s="14" t="s">
        <v>88</v>
      </c>
      <c r="BH1" s="14" t="s">
        <v>89</v>
      </c>
      <c r="BI1" s="14" t="s">
        <v>184</v>
      </c>
      <c r="BJ1" s="14" t="s">
        <v>90</v>
      </c>
      <c r="BK1" s="14" t="s">
        <v>91</v>
      </c>
      <c r="BL1" s="14" t="s">
        <v>185</v>
      </c>
      <c r="BM1" s="15" t="s">
        <v>168</v>
      </c>
      <c r="BN1" s="14" t="s">
        <v>92</v>
      </c>
      <c r="BO1" s="14" t="s">
        <v>93</v>
      </c>
      <c r="BP1" s="14" t="s">
        <v>94</v>
      </c>
      <c r="BQ1" s="16" t="s">
        <v>95</v>
      </c>
      <c r="BR1" s="16" t="s">
        <v>96</v>
      </c>
      <c r="BS1" s="16" t="s">
        <v>186</v>
      </c>
      <c r="BT1" s="16" t="s">
        <v>97</v>
      </c>
      <c r="BU1" s="16" t="s">
        <v>187</v>
      </c>
      <c r="BV1" s="15" t="s">
        <v>169</v>
      </c>
      <c r="BW1" s="16" t="s">
        <v>188</v>
      </c>
      <c r="BX1" s="14" t="s">
        <v>98</v>
      </c>
      <c r="BY1" s="16" t="s">
        <v>189</v>
      </c>
      <c r="BZ1" s="16" t="s">
        <v>99</v>
      </c>
      <c r="CA1" s="16" t="s">
        <v>100</v>
      </c>
      <c r="CB1" s="16" t="s">
        <v>101</v>
      </c>
      <c r="CC1" s="16" t="s">
        <v>102</v>
      </c>
      <c r="CD1" s="14" t="s">
        <v>190</v>
      </c>
      <c r="CE1" s="14" t="s">
        <v>191</v>
      </c>
      <c r="CF1" s="14" t="s">
        <v>192</v>
      </c>
      <c r="CG1" s="14" t="s">
        <v>193</v>
      </c>
      <c r="CH1" s="14" t="s">
        <v>194</v>
      </c>
      <c r="CI1" s="14" t="s">
        <v>195</v>
      </c>
      <c r="CJ1" s="14" t="s">
        <v>196</v>
      </c>
    </row>
    <row r="2" spans="1:88" s="17" customFormat="1" x14ac:dyDescent="0.55000000000000004">
      <c r="A2" s="28" t="str">
        <f t="shared" ref="A2:BL2" si="0"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名前</v>
      </c>
      <c r="B2" s="25" t="str">
        <f t="shared" si="0"/>
        <v>ふりがな</v>
      </c>
      <c r="C2" s="18" t="str">
        <f t="shared" si="0"/>
        <v>加入日</v>
      </c>
      <c r="D2" s="18" t="str">
        <f t="shared" si="0"/>
        <v>卒業日</v>
      </c>
      <c r="E2" s="18" t="str">
        <f t="shared" si="0"/>
        <v>加入期</v>
      </c>
      <c r="F2" s="18" t="str">
        <f t="shared" si="0"/>
        <v>誕生日</v>
      </c>
      <c r="G2" s="18" t="str">
        <f t="shared" si="0"/>
        <v>年齢</v>
      </c>
      <c r="H2" s="18" t="str">
        <f t="shared" si="0"/>
        <v>出身地</v>
      </c>
      <c r="I2" s="18" t="str">
        <f t="shared" si="0"/>
        <v>都道府県番号</v>
      </c>
      <c r="J2" s="18" t="str">
        <f t="shared" si="0"/>
        <v>身長</v>
      </c>
      <c r="K2" s="18" t="str">
        <f t="shared" si="0"/>
        <v>[1st_single]</v>
      </c>
      <c r="L2" s="18" t="str">
        <f t="shared" si="0"/>
        <v>Nobodys_fault</v>
      </c>
      <c r="M2" s="18" t="str">
        <f t="shared" si="0"/>
        <v>ブルームーンキス</v>
      </c>
      <c r="N2" s="18" t="str">
        <f t="shared" si="0"/>
        <v>最終の地下鉄に乗って</v>
      </c>
      <c r="O2" s="18" t="str">
        <f t="shared" si="0"/>
        <v>なぜ_恋をして来なかったんだろう</v>
      </c>
      <c r="P2" s="18" t="str">
        <f t="shared" si="0"/>
        <v>Plastic_regret</v>
      </c>
      <c r="Q2" s="18" t="str">
        <f t="shared" si="0"/>
        <v>Buddies</v>
      </c>
      <c r="R2" s="18" t="str">
        <f t="shared" si="0"/>
        <v>半信半疑</v>
      </c>
      <c r="S2" s="18" t="str">
        <f t="shared" si="0"/>
        <v>[2nd_single]</v>
      </c>
      <c r="T2" s="18" t="str">
        <f t="shared" si="0"/>
        <v>BAN</v>
      </c>
      <c r="U2" s="18" t="str">
        <f t="shared" si="0"/>
        <v>君と僕と洗濯物</v>
      </c>
      <c r="V2" s="18" t="str">
        <f t="shared" si="0"/>
        <v>偶然の答え</v>
      </c>
      <c r="W2" s="18" t="str">
        <f t="shared" si="0"/>
        <v>Microscope</v>
      </c>
      <c r="X2" s="18" t="str">
        <f t="shared" si="0"/>
        <v>思ったよりも寂しくない</v>
      </c>
      <c r="Y2" s="18" t="str">
        <f t="shared" si="0"/>
        <v>それが愛なのね</v>
      </c>
      <c r="Z2" s="18" t="str">
        <f t="shared" si="0"/>
        <v>櫻坂の詩</v>
      </c>
      <c r="AA2" s="18" t="str">
        <f t="shared" si="0"/>
        <v>[3rd_single]</v>
      </c>
      <c r="AB2" s="18" t="str">
        <f t="shared" si="0"/>
        <v>流れ弾</v>
      </c>
      <c r="AC2" s="18" t="str">
        <f t="shared" si="0"/>
        <v>美しきNervous</v>
      </c>
      <c r="AD2" s="18" t="str">
        <f t="shared" si="0"/>
        <v>Dead_end</v>
      </c>
      <c r="AE2" s="18" t="str">
        <f t="shared" si="0"/>
        <v>ソニア</v>
      </c>
      <c r="AF2" s="18" t="str">
        <f t="shared" si="0"/>
        <v>ジャマイカビール</v>
      </c>
      <c r="AG2" s="18" t="str">
        <f t="shared" si="0"/>
        <v>On_my_way</v>
      </c>
      <c r="AH2" s="18" t="str">
        <f t="shared" si="0"/>
        <v>無言の宇宙</v>
      </c>
      <c r="AI2" s="18" t="str">
        <f t="shared" si="0"/>
        <v>[4th_single]</v>
      </c>
      <c r="AJ2" s="18" t="str">
        <f t="shared" si="0"/>
        <v>五月雨よ</v>
      </c>
      <c r="AK2" s="18" t="str">
        <f t="shared" si="0"/>
        <v>僕のジレンマ</v>
      </c>
      <c r="AL2" s="18" t="str">
        <f t="shared" si="0"/>
        <v>Im_in</v>
      </c>
      <c r="AM2" s="18" t="str">
        <f t="shared" si="0"/>
        <v>断絶</v>
      </c>
      <c r="AN2" s="18" t="str">
        <f t="shared" si="0"/>
        <v>制服の人魚</v>
      </c>
      <c r="AO2" s="18" t="str">
        <f t="shared" si="0"/>
        <v>車間距離</v>
      </c>
      <c r="AP2" s="18" t="str">
        <f t="shared" si="0"/>
        <v>恋が絶滅する日</v>
      </c>
      <c r="AQ2" s="18" t="str">
        <f t="shared" si="0"/>
        <v>[1st_album]</v>
      </c>
      <c r="AR2" s="18" t="str">
        <f t="shared" si="0"/>
        <v>摩擦係数</v>
      </c>
      <c r="AS2" s="18" t="str">
        <f t="shared" si="0"/>
        <v>条件反射で泣けてくる</v>
      </c>
      <c r="AT2" s="18" t="str">
        <f t="shared" si="0"/>
        <v>One-way_stairs</v>
      </c>
      <c r="AU2" s="18" t="str">
        <f t="shared" si="0"/>
        <v>タイムマシンでYeah</v>
      </c>
      <c r="AV2" s="18" t="str">
        <f t="shared" si="0"/>
        <v>ずっと_春だったらなあ</v>
      </c>
      <c r="AW2" s="18" t="str">
        <f t="shared" si="0"/>
        <v>[5th_single]</v>
      </c>
      <c r="AX2" s="18" t="str">
        <f t="shared" si="0"/>
        <v>桜月</v>
      </c>
      <c r="AY2" s="18" t="str">
        <f t="shared" si="0"/>
        <v>Cool</v>
      </c>
      <c r="AZ2" s="18" t="str">
        <f t="shared" si="0"/>
        <v>無念</v>
      </c>
      <c r="BA2" s="18" t="str">
        <f t="shared" si="0"/>
        <v>もしかしたら真実</v>
      </c>
      <c r="BB2" s="18" t="str">
        <f t="shared" si="0"/>
        <v>魂のLiar</v>
      </c>
      <c r="BC2" s="18" t="str">
        <f t="shared" si="0"/>
        <v>夏の近道</v>
      </c>
      <c r="BD2" s="18" t="str">
        <f t="shared" si="0"/>
        <v>その日まで</v>
      </c>
      <c r="BE2" s="18" t="str">
        <f t="shared" si="0"/>
        <v>[6th_single]</v>
      </c>
      <c r="BF2" s="18" t="str">
        <f t="shared" si="0"/>
        <v>Start_over</v>
      </c>
      <c r="BG2" s="18" t="str">
        <f t="shared" si="0"/>
        <v>静寂の暴力</v>
      </c>
      <c r="BH2" s="18" t="str">
        <f t="shared" si="0"/>
        <v>風の音</v>
      </c>
      <c r="BI2" s="18" t="str">
        <f t="shared" si="0"/>
        <v>コンビナート</v>
      </c>
      <c r="BJ2" s="18" t="str">
        <f t="shared" si="0"/>
        <v>Anthem_time</v>
      </c>
      <c r="BK2" s="18" t="str">
        <f t="shared" si="0"/>
        <v>一瞬の馬</v>
      </c>
      <c r="BL2" s="18" t="str">
        <f t="shared" si="0"/>
        <v>ドローン旋回中</v>
      </c>
      <c r="BM2" s="18" t="str">
        <f t="shared" ref="BM2:CJ2" si="1">SUBSTITUTE(SUBSTITUTE(SUBSTITUTE(SUBSTITUTE(SUBSTITUTE(SUBSTITUTE(SUBSTITUTE(SUBSTITUTE(SUBSTITUTE(SUBSTITUTE(SUBSTITUTE(SUBSTITUTE(SUBSTITUTE(SUBSTITUTE(SUBSTITUTE(SUBSTITUTE(SUBSTITUTE(SUBSTITUTE(BM1, " ", "_"), "　", "_"), "'", ""), """", ""), "!", ""), "@", ""), "#", ""), "?", ""), "！", ""), "？", ""), "$", ""), "%", ""), "^", ""), "&amp;", ""), "*", ""), "(", ""), ")", ""), "・", "")</f>
        <v>[7th_single]</v>
      </c>
      <c r="BN2" s="18" t="str">
        <f t="shared" si="1"/>
        <v>承認欲求</v>
      </c>
      <c r="BO2" s="18" t="str">
        <f t="shared" si="1"/>
        <v>マモリビト</v>
      </c>
      <c r="BP2" s="18" t="str">
        <f t="shared" si="1"/>
        <v>確信的クロワッサン</v>
      </c>
      <c r="BQ2" s="18" t="str">
        <f t="shared" si="1"/>
        <v>僕たちの_La_vie_en_rose</v>
      </c>
      <c r="BR2" s="18" t="str">
        <f t="shared" si="1"/>
        <v>Dont_cut_in_line</v>
      </c>
      <c r="BS2" s="18" t="str">
        <f t="shared" si="1"/>
        <v>マンホールの蓋の上</v>
      </c>
      <c r="BT2" s="18" t="str">
        <f t="shared" si="1"/>
        <v>隙間風よ</v>
      </c>
      <c r="BU2" s="18" t="str">
        <f t="shared" si="1"/>
        <v>君がサヨナラ言えたって</v>
      </c>
      <c r="BV2" s="18" t="str">
        <f t="shared" si="1"/>
        <v>[8th_single]</v>
      </c>
      <c r="BW2" s="18" t="str">
        <f t="shared" si="1"/>
        <v>何歳の頃に戻りたいのか</v>
      </c>
      <c r="BX2" s="18" t="str">
        <f t="shared" si="1"/>
        <v>何度_LOVE_SONGの歌詞を読み返しただろう</v>
      </c>
      <c r="BY2" s="18" t="str">
        <f t="shared" si="1"/>
        <v>油を注せ</v>
      </c>
      <c r="BZ2" s="18" t="str">
        <f t="shared" si="1"/>
        <v>真夏に何か起きるのかしら</v>
      </c>
      <c r="CA2" s="18" t="str">
        <f t="shared" si="1"/>
        <v>心の影絵</v>
      </c>
      <c r="CB2" s="18" t="str">
        <f t="shared" si="1"/>
        <v>恋は向いてない</v>
      </c>
      <c r="CC2" s="18" t="str">
        <f t="shared" si="1"/>
        <v>泣かせて_Hold_me_tight</v>
      </c>
      <c r="CD2" s="18" t="str">
        <f t="shared" si="1"/>
        <v>[9th_single]</v>
      </c>
      <c r="CE2" s="18" t="str">
        <f t="shared" si="1"/>
        <v>自業自得</v>
      </c>
      <c r="CF2" s="18" t="str">
        <f t="shared" si="1"/>
        <v>引きこもる時間はない</v>
      </c>
      <c r="CG2" s="18" t="str">
        <f t="shared" si="1"/>
        <v>愛し合いなさい</v>
      </c>
      <c r="CH2" s="18" t="str">
        <f t="shared" si="1"/>
        <v>イザベルについて</v>
      </c>
      <c r="CI2" s="18" t="str">
        <f t="shared" si="1"/>
        <v>縁起担ぎ</v>
      </c>
      <c r="CJ2" s="18" t="str">
        <f t="shared" si="1"/>
        <v>標識</v>
      </c>
    </row>
    <row r="3" spans="1:88" x14ac:dyDescent="0.55000000000000004">
      <c r="A3" s="7" t="s">
        <v>12</v>
      </c>
      <c r="B3" s="7" t="s">
        <v>125</v>
      </c>
      <c r="C3" s="8">
        <v>42237</v>
      </c>
      <c r="D3" s="7"/>
      <c r="E3" s="7" t="s">
        <v>10</v>
      </c>
      <c r="F3" s="8">
        <v>36113</v>
      </c>
      <c r="G3" s="7" t="str">
        <f t="shared" ref="G3:G29" si="2">TEXT(F3, "yyyymmdd")</f>
        <v>19981114</v>
      </c>
      <c r="H3" s="7" t="s">
        <v>13</v>
      </c>
      <c r="I3" s="7">
        <f t="shared" ref="I3:I29" si="3">IF(H3="北海道",1,IF(H3="青森県",2,IF(H3="岩手県",3,IF(H3="宮城県",4,IF(H3="秋田県",5,IF(H3="山形県",6,IF(H3="福島県",7,IF(H3="茨城県",8,IF(H3="栃木県",9,IF(H3="群馬県",10,IF(H3="埼玉県",11,IF(H3="千葉県",12,IF(H3="東京都",13,IF(H3="神奈川県",14,IF(H3="新潟県",15,IF(H3="富山県",16,IF(H3="石川県",17,IF(H3="福井県",18,IF(H3="山梨県",19,IF(H3="長野県",20,IF(H3="岐阜県",21,IF(H3="静岡県",22,IF(H3="愛知県",23,IF(H3="三重県",24,IF(H3="滋賀県",25,IF(H3="京都府",26,IF(H3="大阪府",27,IF(H3="兵庫県",28,IF(H3="奈良県",29,IF(H3="和歌山県",30,IF(H3="鳥取県",31,IF(H3="島根県",32,IF(H3="岡山県",33,IF(H3="広島県",34,IF(H3="山口県",35,IF(H3="徳島県",36,IF(H3="香川県",37,IF(H3="愛媛県",38,IF(H3="高知県",39,IF(H3="福岡県",40,IF(H3="佐賀県",41,IF(H3="長崎県",42,IF(H3="熊本県",43,IF(H3="大分県",44,IF(H3="宮崎県",45,IF(H3="鹿児島県",46,IF(H3="沖縄県",47,"")))))))))))))))))))))))))))))))))))))))))))))))</f>
        <v>28</v>
      </c>
      <c r="J3" s="7">
        <v>158.5</v>
      </c>
      <c r="K3" s="7" t="s">
        <v>161</v>
      </c>
      <c r="L3" s="7" t="s">
        <v>14</v>
      </c>
      <c r="M3" s="7" t="s">
        <v>14</v>
      </c>
      <c r="N3" s="7" t="s">
        <v>14</v>
      </c>
      <c r="O3" s="7" t="s">
        <v>14</v>
      </c>
      <c r="P3" s="7" t="s">
        <v>14</v>
      </c>
      <c r="Q3" s="7" t="s">
        <v>14</v>
      </c>
      <c r="R3" s="7" t="s">
        <v>14</v>
      </c>
      <c r="S3" s="7" t="s">
        <v>162</v>
      </c>
      <c r="T3" s="7" t="s">
        <v>14</v>
      </c>
      <c r="U3" s="7" t="s">
        <v>14</v>
      </c>
      <c r="V3" s="7" t="s">
        <v>14</v>
      </c>
      <c r="W3" s="7" t="s">
        <v>14</v>
      </c>
      <c r="X3" s="7" t="s">
        <v>14</v>
      </c>
      <c r="Y3" s="7" t="s">
        <v>14</v>
      </c>
      <c r="Z3" s="7" t="s">
        <v>103</v>
      </c>
      <c r="AA3" s="7" t="s">
        <v>163</v>
      </c>
      <c r="AB3" s="7" t="s">
        <v>29</v>
      </c>
      <c r="AC3" s="7" t="s">
        <v>29</v>
      </c>
      <c r="AD3" s="7"/>
      <c r="AE3" s="7" t="s">
        <v>38</v>
      </c>
      <c r="AF3" s="7"/>
      <c r="AG3" s="7"/>
      <c r="AH3" s="7"/>
      <c r="AI3" s="7" t="s">
        <v>164</v>
      </c>
      <c r="AJ3" s="7" t="s">
        <v>14</v>
      </c>
      <c r="AK3" s="7" t="s">
        <v>14</v>
      </c>
      <c r="AL3" s="7"/>
      <c r="AM3" s="7" t="s">
        <v>14</v>
      </c>
      <c r="AN3" s="7"/>
      <c r="AO3" s="7" t="s">
        <v>14</v>
      </c>
      <c r="AP3" s="7" t="s">
        <v>14</v>
      </c>
      <c r="AQ3" s="7" t="s">
        <v>165</v>
      </c>
      <c r="AR3" s="7" t="s">
        <v>14</v>
      </c>
      <c r="AS3" s="7" t="s">
        <v>14</v>
      </c>
      <c r="AT3" s="7"/>
      <c r="AU3" s="7" t="s">
        <v>14</v>
      </c>
      <c r="AV3" s="7"/>
      <c r="AW3" s="7" t="s">
        <v>166</v>
      </c>
      <c r="AX3" s="7" t="s">
        <v>49</v>
      </c>
      <c r="AY3" s="7" t="s">
        <v>49</v>
      </c>
      <c r="AZ3" s="7"/>
      <c r="BA3" s="7" t="s">
        <v>103</v>
      </c>
      <c r="BB3" s="7" t="s">
        <v>103</v>
      </c>
      <c r="BC3" s="7"/>
      <c r="BD3" s="7" t="s">
        <v>103</v>
      </c>
      <c r="BE3" s="7" t="s">
        <v>167</v>
      </c>
      <c r="BF3" s="7" t="s">
        <v>14</v>
      </c>
      <c r="BG3" s="7"/>
      <c r="BH3" s="7" t="s">
        <v>38</v>
      </c>
      <c r="BI3" s="7"/>
      <c r="BJ3" s="7"/>
      <c r="BK3" s="7" t="s">
        <v>14</v>
      </c>
      <c r="BL3" s="7" t="s">
        <v>14</v>
      </c>
      <c r="BM3" s="7" t="s">
        <v>168</v>
      </c>
      <c r="BN3" s="7" t="s">
        <v>29</v>
      </c>
      <c r="BO3" s="7"/>
      <c r="BP3" s="7"/>
      <c r="BQ3" s="7" t="s">
        <v>103</v>
      </c>
      <c r="BR3" s="7"/>
      <c r="BS3" s="7" t="s">
        <v>103</v>
      </c>
      <c r="BT3" s="7" t="s">
        <v>103</v>
      </c>
      <c r="BU3" s="7" t="s">
        <v>176</v>
      </c>
      <c r="BV3" s="7" t="s">
        <v>169</v>
      </c>
      <c r="BW3" s="7" t="s">
        <v>176</v>
      </c>
      <c r="BX3" s="7" t="s">
        <v>176</v>
      </c>
      <c r="BY3" s="7" t="s">
        <v>176</v>
      </c>
      <c r="BZ3" s="7" t="s">
        <v>176</v>
      </c>
      <c r="CA3" s="7" t="s">
        <v>176</v>
      </c>
      <c r="CB3" s="7" t="s">
        <v>176</v>
      </c>
      <c r="CC3" s="7" t="s">
        <v>176</v>
      </c>
      <c r="CD3" s="7" t="s">
        <v>170</v>
      </c>
      <c r="CE3" s="7"/>
      <c r="CF3" s="7"/>
      <c r="CG3" s="7" t="s">
        <v>14</v>
      </c>
      <c r="CH3" s="7"/>
      <c r="CI3" s="7"/>
      <c r="CJ3" s="7"/>
    </row>
    <row r="4" spans="1:88" x14ac:dyDescent="0.55000000000000004">
      <c r="A4" s="7" t="s">
        <v>15</v>
      </c>
      <c r="B4" s="7" t="s">
        <v>126</v>
      </c>
      <c r="C4" s="8">
        <v>42237</v>
      </c>
      <c r="D4" s="7"/>
      <c r="E4" s="7" t="s">
        <v>10</v>
      </c>
      <c r="F4" s="8">
        <v>35841</v>
      </c>
      <c r="G4" s="7" t="str">
        <f t="shared" si="2"/>
        <v>19980215</v>
      </c>
      <c r="H4" s="7" t="s">
        <v>16</v>
      </c>
      <c r="I4" s="7">
        <f t="shared" si="3"/>
        <v>13</v>
      </c>
      <c r="J4" s="7">
        <v>158</v>
      </c>
      <c r="K4" s="7" t="s">
        <v>161</v>
      </c>
      <c r="L4" s="7"/>
      <c r="M4" s="7"/>
      <c r="N4" s="7"/>
      <c r="O4" s="7"/>
      <c r="P4" s="7"/>
      <c r="Q4" s="7" t="s">
        <v>29</v>
      </c>
      <c r="R4" s="7" t="s">
        <v>29</v>
      </c>
      <c r="S4" s="7" t="s">
        <v>162</v>
      </c>
      <c r="T4" s="7"/>
      <c r="U4" s="7"/>
      <c r="V4" s="7"/>
      <c r="W4" s="7"/>
      <c r="X4" s="7" t="s">
        <v>29</v>
      </c>
      <c r="Y4" s="7" t="s">
        <v>29</v>
      </c>
      <c r="Z4" s="7" t="s">
        <v>103</v>
      </c>
      <c r="AA4" s="7" t="s">
        <v>163</v>
      </c>
      <c r="AB4" s="7"/>
      <c r="AC4" s="7"/>
      <c r="AD4" s="7" t="s">
        <v>29</v>
      </c>
      <c r="AE4" s="7" t="s">
        <v>14</v>
      </c>
      <c r="AF4" s="7"/>
      <c r="AG4" s="7"/>
      <c r="AH4" s="7"/>
      <c r="AI4" s="7" t="s">
        <v>164</v>
      </c>
      <c r="AJ4" s="7"/>
      <c r="AK4" s="7" t="s">
        <v>29</v>
      </c>
      <c r="AL4" s="7" t="s">
        <v>29</v>
      </c>
      <c r="AM4" s="7"/>
      <c r="AN4" s="7"/>
      <c r="AO4" s="7" t="s">
        <v>29</v>
      </c>
      <c r="AP4" s="7"/>
      <c r="AQ4" s="7" t="s">
        <v>165</v>
      </c>
      <c r="AR4" s="7"/>
      <c r="AS4" s="7" t="s">
        <v>29</v>
      </c>
      <c r="AT4" s="7"/>
      <c r="AU4" s="7" t="s">
        <v>14</v>
      </c>
      <c r="AV4" s="7"/>
      <c r="AW4" s="7" t="s">
        <v>166</v>
      </c>
      <c r="AX4" s="7"/>
      <c r="AY4" s="7" t="s">
        <v>29</v>
      </c>
      <c r="AZ4" s="7" t="s">
        <v>103</v>
      </c>
      <c r="BA4" s="7"/>
      <c r="BB4" s="7" t="s">
        <v>103</v>
      </c>
      <c r="BC4" s="7"/>
      <c r="BD4" s="7" t="s">
        <v>103</v>
      </c>
      <c r="BE4" s="7" t="s">
        <v>167</v>
      </c>
      <c r="BF4" s="7" t="s">
        <v>29</v>
      </c>
      <c r="BG4" s="7"/>
      <c r="BH4" s="7" t="s">
        <v>103</v>
      </c>
      <c r="BI4" s="7"/>
      <c r="BJ4" s="7"/>
      <c r="BK4" s="7" t="s">
        <v>29</v>
      </c>
      <c r="BL4" s="7" t="s">
        <v>29</v>
      </c>
      <c r="BM4" s="7" t="s">
        <v>168</v>
      </c>
      <c r="BN4" s="7"/>
      <c r="BO4" s="7"/>
      <c r="BP4" s="7" t="s">
        <v>14</v>
      </c>
      <c r="BQ4" s="7"/>
      <c r="BR4" s="7"/>
      <c r="BS4" s="7"/>
      <c r="BT4" s="7" t="s">
        <v>103</v>
      </c>
      <c r="BU4" s="7"/>
      <c r="BV4" s="7" t="s">
        <v>169</v>
      </c>
      <c r="BW4" s="7"/>
      <c r="BX4" s="7" t="s">
        <v>103</v>
      </c>
      <c r="BY4" s="7"/>
      <c r="BZ4" s="7"/>
      <c r="CA4" s="7"/>
      <c r="CB4" s="7"/>
      <c r="CC4" s="7"/>
      <c r="CD4" s="7" t="s">
        <v>170</v>
      </c>
      <c r="CE4" s="7"/>
      <c r="CF4" s="7"/>
      <c r="CG4" s="7" t="s">
        <v>29</v>
      </c>
      <c r="CH4" s="7"/>
      <c r="CI4" s="7"/>
      <c r="CJ4" s="7"/>
    </row>
    <row r="5" spans="1:88" x14ac:dyDescent="0.55000000000000004">
      <c r="A5" s="7" t="s">
        <v>9</v>
      </c>
      <c r="B5" s="7" t="s">
        <v>124</v>
      </c>
      <c r="C5" s="8">
        <v>42237</v>
      </c>
      <c r="D5" s="7"/>
      <c r="E5" s="7" t="s">
        <v>10</v>
      </c>
      <c r="F5" s="8">
        <v>35434</v>
      </c>
      <c r="G5" s="7" t="str">
        <f t="shared" si="2"/>
        <v>19970104</v>
      </c>
      <c r="H5" s="7" t="s">
        <v>11</v>
      </c>
      <c r="I5" s="7">
        <f t="shared" si="3"/>
        <v>12</v>
      </c>
      <c r="J5" s="7">
        <v>153.5</v>
      </c>
      <c r="K5" s="7" t="s">
        <v>161</v>
      </c>
      <c r="L5" s="7"/>
      <c r="M5" s="7"/>
      <c r="N5" s="7"/>
      <c r="O5" s="7"/>
      <c r="P5" s="7"/>
      <c r="Q5" s="7" t="s">
        <v>29</v>
      </c>
      <c r="R5" s="7" t="s">
        <v>29</v>
      </c>
      <c r="S5" s="7" t="s">
        <v>162</v>
      </c>
      <c r="T5" s="7"/>
      <c r="U5" s="7"/>
      <c r="V5" s="7" t="s">
        <v>29</v>
      </c>
      <c r="W5" s="7" t="s">
        <v>29</v>
      </c>
      <c r="X5" s="7"/>
      <c r="Y5" s="7"/>
      <c r="Z5" s="7" t="s">
        <v>103</v>
      </c>
      <c r="AA5" s="7" t="s">
        <v>163</v>
      </c>
      <c r="AB5" s="7"/>
      <c r="AC5" s="7"/>
      <c r="AD5" s="7"/>
      <c r="AE5" s="7" t="s">
        <v>29</v>
      </c>
      <c r="AF5" s="7"/>
      <c r="AG5" s="7"/>
      <c r="AH5" s="7" t="s">
        <v>29</v>
      </c>
      <c r="AI5" s="7" t="s">
        <v>164</v>
      </c>
      <c r="AJ5" s="7" t="s">
        <v>29</v>
      </c>
      <c r="AK5" s="7" t="s">
        <v>29</v>
      </c>
      <c r="AL5" s="7" t="s">
        <v>14</v>
      </c>
      <c r="AM5" s="7"/>
      <c r="AN5" s="7"/>
      <c r="AO5" s="7"/>
      <c r="AP5" s="7" t="s">
        <v>29</v>
      </c>
      <c r="AQ5" s="7" t="s">
        <v>165</v>
      </c>
      <c r="AR5" s="7" t="s">
        <v>29</v>
      </c>
      <c r="AS5" s="7"/>
      <c r="AT5" s="7"/>
      <c r="AU5" s="7" t="s">
        <v>14</v>
      </c>
      <c r="AV5" s="7"/>
      <c r="AW5" s="7" t="s">
        <v>166</v>
      </c>
      <c r="AX5" s="7"/>
      <c r="AY5" s="7" t="s">
        <v>29</v>
      </c>
      <c r="AZ5" s="7" t="s">
        <v>103</v>
      </c>
      <c r="BA5" s="7"/>
      <c r="BB5" s="7" t="s">
        <v>103</v>
      </c>
      <c r="BC5" s="7"/>
      <c r="BD5" s="7" t="s">
        <v>103</v>
      </c>
      <c r="BE5" s="7" t="s">
        <v>167</v>
      </c>
      <c r="BF5" s="7" t="s">
        <v>29</v>
      </c>
      <c r="BG5" s="7"/>
      <c r="BH5" s="7" t="s">
        <v>103</v>
      </c>
      <c r="BI5" s="7"/>
      <c r="BJ5" s="7"/>
      <c r="BK5" s="7" t="s">
        <v>29</v>
      </c>
      <c r="BL5" s="7" t="s">
        <v>29</v>
      </c>
      <c r="BM5" s="7" t="s">
        <v>168</v>
      </c>
      <c r="BN5" s="7"/>
      <c r="BO5" s="7"/>
      <c r="BP5" s="7" t="s">
        <v>14</v>
      </c>
      <c r="BQ5" s="7"/>
      <c r="BR5" s="7"/>
      <c r="BS5" s="7"/>
      <c r="BT5" s="7" t="s">
        <v>103</v>
      </c>
      <c r="BU5" s="7"/>
      <c r="BV5" s="7" t="s">
        <v>169</v>
      </c>
      <c r="BW5" s="7"/>
      <c r="BX5" s="7" t="s">
        <v>103</v>
      </c>
      <c r="BY5" s="7"/>
      <c r="BZ5" s="7"/>
      <c r="CA5" s="7"/>
      <c r="CB5" s="7"/>
      <c r="CC5" s="7"/>
      <c r="CD5" s="7" t="s">
        <v>170</v>
      </c>
      <c r="CE5" s="7"/>
      <c r="CF5" s="7"/>
      <c r="CG5" s="7" t="s">
        <v>29</v>
      </c>
      <c r="CH5" s="7"/>
      <c r="CI5" s="7"/>
      <c r="CJ5" s="7"/>
    </row>
    <row r="6" spans="1:88" x14ac:dyDescent="0.55000000000000004">
      <c r="A6" s="7" t="s">
        <v>17</v>
      </c>
      <c r="B6" s="7" t="s">
        <v>127</v>
      </c>
      <c r="C6" s="8">
        <v>43433</v>
      </c>
      <c r="D6" s="7"/>
      <c r="E6" s="7" t="s">
        <v>18</v>
      </c>
      <c r="F6" s="8">
        <v>36920</v>
      </c>
      <c r="G6" s="7" t="str">
        <f t="shared" si="2"/>
        <v>20010129</v>
      </c>
      <c r="H6" s="7" t="s">
        <v>13</v>
      </c>
      <c r="I6" s="7">
        <f t="shared" si="3"/>
        <v>28</v>
      </c>
      <c r="J6" s="7">
        <v>163</v>
      </c>
      <c r="K6" s="7" t="s">
        <v>161</v>
      </c>
      <c r="L6" s="7"/>
      <c r="M6" s="7"/>
      <c r="N6" s="7"/>
      <c r="O6" s="7" t="s">
        <v>29</v>
      </c>
      <c r="P6" s="7" t="s">
        <v>29</v>
      </c>
      <c r="Q6" s="7"/>
      <c r="R6" s="7"/>
      <c r="S6" s="7" t="s">
        <v>162</v>
      </c>
      <c r="T6" s="7" t="s">
        <v>29</v>
      </c>
      <c r="U6" s="7" t="s">
        <v>29</v>
      </c>
      <c r="V6" s="7"/>
      <c r="W6" s="7"/>
      <c r="X6" s="7"/>
      <c r="Y6" s="7"/>
      <c r="Z6" s="7" t="s">
        <v>103</v>
      </c>
      <c r="AA6" s="7" t="s">
        <v>163</v>
      </c>
      <c r="AB6" s="7"/>
      <c r="AC6" s="7"/>
      <c r="AD6" s="7" t="s">
        <v>29</v>
      </c>
      <c r="AE6" s="7" t="s">
        <v>14</v>
      </c>
      <c r="AF6" s="7"/>
      <c r="AG6" s="7" t="s">
        <v>103</v>
      </c>
      <c r="AH6" s="7"/>
      <c r="AI6" s="7" t="s">
        <v>164</v>
      </c>
      <c r="AJ6" s="7" t="s">
        <v>29</v>
      </c>
      <c r="AK6" s="7" t="s">
        <v>29</v>
      </c>
      <c r="AL6" s="7" t="s">
        <v>14</v>
      </c>
      <c r="AM6" s="7"/>
      <c r="AN6" s="7"/>
      <c r="AO6" s="7"/>
      <c r="AP6" s="7" t="s">
        <v>29</v>
      </c>
      <c r="AQ6" s="7" t="s">
        <v>165</v>
      </c>
      <c r="AR6" s="7" t="s">
        <v>29</v>
      </c>
      <c r="AS6" s="7"/>
      <c r="AT6" s="7"/>
      <c r="AU6" s="7"/>
      <c r="AV6" s="7"/>
      <c r="AW6" s="7" t="s">
        <v>166</v>
      </c>
      <c r="AX6" s="7" t="s">
        <v>29</v>
      </c>
      <c r="AY6" s="7"/>
      <c r="AZ6" s="7" t="s">
        <v>103</v>
      </c>
      <c r="BA6" s="7" t="s">
        <v>103</v>
      </c>
      <c r="BB6" s="7" t="s">
        <v>103</v>
      </c>
      <c r="BC6" s="7"/>
      <c r="BD6" s="7" t="s">
        <v>103</v>
      </c>
      <c r="BE6" s="7" t="s">
        <v>167</v>
      </c>
      <c r="BF6" s="7" t="s">
        <v>29</v>
      </c>
      <c r="BG6" s="7"/>
      <c r="BH6" s="7"/>
      <c r="BI6" s="7" t="s">
        <v>14</v>
      </c>
      <c r="BJ6" s="7"/>
      <c r="BK6" s="7" t="s">
        <v>29</v>
      </c>
      <c r="BL6" s="7" t="s">
        <v>29</v>
      </c>
      <c r="BM6" s="7" t="s">
        <v>168</v>
      </c>
      <c r="BN6" s="7"/>
      <c r="BO6" s="7"/>
      <c r="BP6" s="7" t="s">
        <v>38</v>
      </c>
      <c r="BQ6" s="7"/>
      <c r="BR6" s="7"/>
      <c r="BS6" s="7"/>
      <c r="BT6" s="7" t="s">
        <v>103</v>
      </c>
      <c r="BU6" s="7"/>
      <c r="BV6" s="7" t="s">
        <v>169</v>
      </c>
      <c r="BW6" s="7" t="s">
        <v>29</v>
      </c>
      <c r="BX6" s="7"/>
      <c r="BY6" s="7"/>
      <c r="BZ6" s="7"/>
      <c r="CA6" s="7"/>
      <c r="CB6" s="7"/>
      <c r="CC6" s="7" t="s">
        <v>103</v>
      </c>
      <c r="CD6" s="7" t="s">
        <v>170</v>
      </c>
      <c r="CE6" s="7" t="s">
        <v>29</v>
      </c>
      <c r="CF6" s="7"/>
      <c r="CG6" s="7"/>
      <c r="CH6" s="7" t="s">
        <v>103</v>
      </c>
      <c r="CI6" s="7"/>
      <c r="CJ6" s="7"/>
    </row>
    <row r="7" spans="1:88" x14ac:dyDescent="0.55000000000000004">
      <c r="A7" s="7" t="s">
        <v>19</v>
      </c>
      <c r="B7" s="7" t="s">
        <v>128</v>
      </c>
      <c r="C7" s="8">
        <v>43877</v>
      </c>
      <c r="D7" s="7"/>
      <c r="E7" s="7" t="s">
        <v>18</v>
      </c>
      <c r="F7" s="8">
        <v>36267</v>
      </c>
      <c r="G7" s="7" t="str">
        <f t="shared" si="2"/>
        <v>19990417</v>
      </c>
      <c r="H7" s="7" t="s">
        <v>20</v>
      </c>
      <c r="I7" s="7">
        <f t="shared" si="3"/>
        <v>14</v>
      </c>
      <c r="J7" s="7">
        <v>163.30000000000001</v>
      </c>
      <c r="K7" s="7" t="s">
        <v>161</v>
      </c>
      <c r="L7" s="7"/>
      <c r="M7" s="7"/>
      <c r="N7" s="7"/>
      <c r="O7" s="7"/>
      <c r="P7" s="7"/>
      <c r="Q7" s="7" t="s">
        <v>29</v>
      </c>
      <c r="R7" s="7" t="s">
        <v>29</v>
      </c>
      <c r="S7" s="7" t="s">
        <v>162</v>
      </c>
      <c r="T7" s="7"/>
      <c r="U7" s="7"/>
      <c r="V7" s="7"/>
      <c r="W7" s="7"/>
      <c r="X7" s="7" t="s">
        <v>29</v>
      </c>
      <c r="Y7" s="7" t="s">
        <v>29</v>
      </c>
      <c r="Z7" s="7" t="s">
        <v>103</v>
      </c>
      <c r="AA7" s="7" t="s">
        <v>163</v>
      </c>
      <c r="AB7" s="7"/>
      <c r="AC7" s="7"/>
      <c r="AD7" s="7" t="s">
        <v>29</v>
      </c>
      <c r="AE7" s="7" t="s">
        <v>14</v>
      </c>
      <c r="AF7" s="7" t="s">
        <v>103</v>
      </c>
      <c r="AG7" s="7"/>
      <c r="AH7" s="7"/>
      <c r="AI7" s="7" t="s">
        <v>164</v>
      </c>
      <c r="AJ7" s="7"/>
      <c r="AK7" s="7" t="s">
        <v>29</v>
      </c>
      <c r="AL7" s="7" t="s">
        <v>29</v>
      </c>
      <c r="AM7" s="7"/>
      <c r="AN7" s="7"/>
      <c r="AO7" s="7" t="s">
        <v>29</v>
      </c>
      <c r="AP7" s="7"/>
      <c r="AQ7" s="7" t="s">
        <v>165</v>
      </c>
      <c r="AR7" s="7"/>
      <c r="AS7" s="7" t="s">
        <v>29</v>
      </c>
      <c r="AT7" s="7"/>
      <c r="AU7" s="7"/>
      <c r="AV7" s="7"/>
      <c r="AW7" s="7" t="s">
        <v>166</v>
      </c>
      <c r="AX7" s="7"/>
      <c r="AY7" s="7" t="s">
        <v>29</v>
      </c>
      <c r="AZ7" s="7" t="s">
        <v>103</v>
      </c>
      <c r="BA7" s="7"/>
      <c r="BB7" s="7" t="s">
        <v>103</v>
      </c>
      <c r="BC7" s="7"/>
      <c r="BD7" s="7" t="s">
        <v>103</v>
      </c>
      <c r="BE7" s="7" t="s">
        <v>167</v>
      </c>
      <c r="BF7" s="7" t="s">
        <v>176</v>
      </c>
      <c r="BG7" s="7" t="s">
        <v>176</v>
      </c>
      <c r="BH7" s="7" t="s">
        <v>176</v>
      </c>
      <c r="BI7" s="7" t="s">
        <v>176</v>
      </c>
      <c r="BJ7" s="7" t="s">
        <v>176</v>
      </c>
      <c r="BK7" s="7" t="s">
        <v>176</v>
      </c>
      <c r="BL7" s="7" t="s">
        <v>176</v>
      </c>
      <c r="BM7" s="7" t="s">
        <v>168</v>
      </c>
      <c r="BN7" s="7" t="s">
        <v>176</v>
      </c>
      <c r="BO7" s="7" t="s">
        <v>176</v>
      </c>
      <c r="BP7" s="7" t="s">
        <v>176</v>
      </c>
      <c r="BQ7" s="7" t="s">
        <v>176</v>
      </c>
      <c r="BR7" s="7" t="s">
        <v>176</v>
      </c>
      <c r="BS7" s="7" t="s">
        <v>176</v>
      </c>
      <c r="BT7" s="7" t="s">
        <v>176</v>
      </c>
      <c r="BU7" s="7"/>
      <c r="BV7" s="7" t="s">
        <v>169</v>
      </c>
      <c r="BW7" s="7"/>
      <c r="BX7" s="7" t="s">
        <v>103</v>
      </c>
      <c r="BY7" s="7"/>
      <c r="BZ7" s="7"/>
      <c r="CA7" s="7"/>
      <c r="CB7" s="7"/>
      <c r="CC7" s="7"/>
      <c r="CD7" s="7" t="s">
        <v>170</v>
      </c>
      <c r="CE7" s="7"/>
      <c r="CF7" s="7"/>
      <c r="CG7" s="7" t="s">
        <v>29</v>
      </c>
      <c r="CH7" s="7"/>
      <c r="CI7" s="7"/>
      <c r="CJ7" s="7"/>
    </row>
    <row r="8" spans="1:88" x14ac:dyDescent="0.55000000000000004">
      <c r="A8" s="7" t="s">
        <v>21</v>
      </c>
      <c r="B8" s="7" t="s">
        <v>129</v>
      </c>
      <c r="C8" s="8">
        <v>43877</v>
      </c>
      <c r="D8" s="7"/>
      <c r="E8" s="7" t="s">
        <v>18</v>
      </c>
      <c r="F8" s="8">
        <v>36634</v>
      </c>
      <c r="G8" s="7" t="str">
        <f t="shared" si="2"/>
        <v>20000418</v>
      </c>
      <c r="H8" s="7" t="s">
        <v>22</v>
      </c>
      <c r="I8" s="7">
        <f t="shared" si="3"/>
        <v>46</v>
      </c>
      <c r="J8" s="7">
        <v>163</v>
      </c>
      <c r="K8" s="7" t="s">
        <v>161</v>
      </c>
      <c r="L8" s="7" t="s">
        <v>29</v>
      </c>
      <c r="M8" s="7" t="s">
        <v>29</v>
      </c>
      <c r="N8" s="7" t="s">
        <v>29</v>
      </c>
      <c r="O8" s="7"/>
      <c r="P8" s="7"/>
      <c r="Q8" s="7"/>
      <c r="R8" s="7"/>
      <c r="S8" s="7" t="s">
        <v>162</v>
      </c>
      <c r="T8" s="7" t="s">
        <v>29</v>
      </c>
      <c r="U8" s="7" t="s">
        <v>29</v>
      </c>
      <c r="V8" s="7"/>
      <c r="W8" s="7"/>
      <c r="X8" s="7"/>
      <c r="Y8" s="7"/>
      <c r="Z8" s="7" t="s">
        <v>103</v>
      </c>
      <c r="AA8" s="7" t="s">
        <v>163</v>
      </c>
      <c r="AB8" s="7" t="s">
        <v>29</v>
      </c>
      <c r="AC8" s="7" t="s">
        <v>29</v>
      </c>
      <c r="AD8" s="7"/>
      <c r="AE8" s="7" t="s">
        <v>49</v>
      </c>
      <c r="AF8" s="7"/>
      <c r="AG8" s="7"/>
      <c r="AH8" s="7"/>
      <c r="AI8" s="7" t="s">
        <v>164</v>
      </c>
      <c r="AJ8" s="7" t="s">
        <v>29</v>
      </c>
      <c r="AK8" s="7" t="s">
        <v>14</v>
      </c>
      <c r="AL8" s="7" t="s">
        <v>49</v>
      </c>
      <c r="AM8" s="7"/>
      <c r="AN8" s="7"/>
      <c r="AO8" s="7"/>
      <c r="AP8" s="7" t="s">
        <v>29</v>
      </c>
      <c r="AQ8" s="7" t="s">
        <v>165</v>
      </c>
      <c r="AR8" s="7" t="s">
        <v>29</v>
      </c>
      <c r="AS8" s="7"/>
      <c r="AT8" s="7"/>
      <c r="AU8" s="7"/>
      <c r="AV8" s="7" t="s">
        <v>103</v>
      </c>
      <c r="AW8" s="7" t="s">
        <v>166</v>
      </c>
      <c r="AX8" s="7" t="s">
        <v>14</v>
      </c>
      <c r="AY8" s="7" t="s">
        <v>38</v>
      </c>
      <c r="AZ8" s="7"/>
      <c r="BA8" s="7" t="s">
        <v>103</v>
      </c>
      <c r="BB8" s="7" t="s">
        <v>103</v>
      </c>
      <c r="BC8" s="7"/>
      <c r="BD8" s="7" t="s">
        <v>103</v>
      </c>
      <c r="BE8" s="7" t="s">
        <v>167</v>
      </c>
      <c r="BF8" s="7" t="s">
        <v>29</v>
      </c>
      <c r="BG8" s="7"/>
      <c r="BH8" s="7"/>
      <c r="BI8" s="7" t="s">
        <v>14</v>
      </c>
      <c r="BJ8" s="7"/>
      <c r="BK8" s="7" t="s">
        <v>29</v>
      </c>
      <c r="BL8" s="7" t="s">
        <v>29</v>
      </c>
      <c r="BM8" s="7" t="s">
        <v>168</v>
      </c>
      <c r="BN8" s="7" t="s">
        <v>14</v>
      </c>
      <c r="BO8" s="7"/>
      <c r="BP8" s="7"/>
      <c r="BQ8" s="7"/>
      <c r="BR8" s="7"/>
      <c r="BS8" s="7" t="s">
        <v>103</v>
      </c>
      <c r="BT8" s="7" t="s">
        <v>103</v>
      </c>
      <c r="BU8" s="7"/>
      <c r="BV8" s="7" t="s">
        <v>169</v>
      </c>
      <c r="BW8" s="7" t="s">
        <v>29</v>
      </c>
      <c r="BX8" s="7"/>
      <c r="BY8" s="7"/>
      <c r="BZ8" s="7"/>
      <c r="CA8" s="7"/>
      <c r="CB8" s="7"/>
      <c r="CC8" s="7" t="s">
        <v>103</v>
      </c>
      <c r="CD8" s="7" t="s">
        <v>170</v>
      </c>
      <c r="CE8" s="7" t="s">
        <v>14</v>
      </c>
      <c r="CF8" s="7"/>
      <c r="CG8" s="7"/>
      <c r="CH8" s="7"/>
      <c r="CI8" s="7"/>
      <c r="CJ8" s="7"/>
    </row>
    <row r="9" spans="1:88" x14ac:dyDescent="0.55000000000000004">
      <c r="A9" s="7" t="s">
        <v>23</v>
      </c>
      <c r="B9" s="7" t="s">
        <v>130</v>
      </c>
      <c r="C9" s="8">
        <v>43877</v>
      </c>
      <c r="D9" s="7"/>
      <c r="E9" s="7" t="s">
        <v>18</v>
      </c>
      <c r="F9" s="8">
        <v>36445</v>
      </c>
      <c r="G9" s="7" t="str">
        <f t="shared" si="2"/>
        <v>19991012</v>
      </c>
      <c r="H9" s="7" t="s">
        <v>24</v>
      </c>
      <c r="I9" s="7">
        <f t="shared" si="3"/>
        <v>22</v>
      </c>
      <c r="J9" s="7">
        <v>161</v>
      </c>
      <c r="K9" s="7" t="s">
        <v>161</v>
      </c>
      <c r="L9" s="7"/>
      <c r="M9" s="7"/>
      <c r="N9" s="7"/>
      <c r="O9" s="7"/>
      <c r="P9" s="7"/>
      <c r="Q9" s="7" t="s">
        <v>29</v>
      </c>
      <c r="R9" s="7" t="s">
        <v>29</v>
      </c>
      <c r="S9" s="7" t="s">
        <v>162</v>
      </c>
      <c r="T9" s="7"/>
      <c r="U9" s="7"/>
      <c r="V9" s="7"/>
      <c r="W9" s="7"/>
      <c r="X9" s="7" t="s">
        <v>29</v>
      </c>
      <c r="Y9" s="7" t="s">
        <v>29</v>
      </c>
      <c r="Z9" s="7" t="s">
        <v>103</v>
      </c>
      <c r="AA9" s="7" t="s">
        <v>163</v>
      </c>
      <c r="AB9" s="7"/>
      <c r="AC9" s="7"/>
      <c r="AD9" s="7" t="s">
        <v>29</v>
      </c>
      <c r="AE9" s="7" t="s">
        <v>14</v>
      </c>
      <c r="AF9" s="7"/>
      <c r="AG9" s="7"/>
      <c r="AH9" s="7"/>
      <c r="AI9" s="7" t="s">
        <v>164</v>
      </c>
      <c r="AJ9" s="7"/>
      <c r="AK9" s="7" t="s">
        <v>29</v>
      </c>
      <c r="AL9" s="7" t="s">
        <v>29</v>
      </c>
      <c r="AM9" s="7"/>
      <c r="AN9" s="7"/>
      <c r="AO9" s="7" t="s">
        <v>29</v>
      </c>
      <c r="AP9" s="7"/>
      <c r="AQ9" s="7" t="s">
        <v>165</v>
      </c>
      <c r="AR9" s="7"/>
      <c r="AS9" s="7" t="s">
        <v>29</v>
      </c>
      <c r="AT9" s="7"/>
      <c r="AU9" s="7"/>
      <c r="AV9" s="7"/>
      <c r="AW9" s="7" t="s">
        <v>166</v>
      </c>
      <c r="AX9" s="7"/>
      <c r="AY9" s="7" t="s">
        <v>29</v>
      </c>
      <c r="AZ9" s="7" t="s">
        <v>103</v>
      </c>
      <c r="BA9" s="7"/>
      <c r="BB9" s="7" t="s">
        <v>103</v>
      </c>
      <c r="BC9" s="7"/>
      <c r="BD9" s="7" t="s">
        <v>103</v>
      </c>
      <c r="BE9" s="7" t="s">
        <v>167</v>
      </c>
      <c r="BF9" s="7" t="s">
        <v>29</v>
      </c>
      <c r="BG9" s="7"/>
      <c r="BH9" s="7"/>
      <c r="BI9" s="7" t="s">
        <v>49</v>
      </c>
      <c r="BJ9" s="7"/>
      <c r="BK9" s="7" t="s">
        <v>29</v>
      </c>
      <c r="BL9" s="7" t="s">
        <v>29</v>
      </c>
      <c r="BM9" s="7" t="s">
        <v>168</v>
      </c>
      <c r="BN9" s="7"/>
      <c r="BO9" s="7"/>
      <c r="BP9" s="7" t="s">
        <v>29</v>
      </c>
      <c r="BQ9" s="7"/>
      <c r="BR9" s="7"/>
      <c r="BS9" s="7"/>
      <c r="BT9" s="7" t="s">
        <v>103</v>
      </c>
      <c r="BU9" s="7"/>
      <c r="BV9" s="7" t="s">
        <v>169</v>
      </c>
      <c r="BW9" s="7"/>
      <c r="BX9" s="7" t="s">
        <v>103</v>
      </c>
      <c r="BY9" s="7"/>
      <c r="BZ9" s="7"/>
      <c r="CA9" s="7"/>
      <c r="CB9" s="7"/>
      <c r="CC9" s="7"/>
      <c r="CD9" s="7" t="s">
        <v>170</v>
      </c>
      <c r="CE9" s="7"/>
      <c r="CF9" s="7"/>
      <c r="CG9" s="7" t="s">
        <v>14</v>
      </c>
      <c r="CH9" s="7" t="s">
        <v>103</v>
      </c>
      <c r="CI9" s="7"/>
      <c r="CJ9" s="7"/>
    </row>
    <row r="10" spans="1:88" x14ac:dyDescent="0.55000000000000004">
      <c r="A10" s="7" t="s">
        <v>25</v>
      </c>
      <c r="B10" s="7" t="s">
        <v>131</v>
      </c>
      <c r="C10" s="8">
        <v>43877</v>
      </c>
      <c r="D10" s="7"/>
      <c r="E10" s="7" t="s">
        <v>18</v>
      </c>
      <c r="F10" s="8">
        <v>37609</v>
      </c>
      <c r="G10" s="7" t="str">
        <f t="shared" si="2"/>
        <v>20021219</v>
      </c>
      <c r="H10" s="7" t="s">
        <v>26</v>
      </c>
      <c r="I10" s="7">
        <f t="shared" si="3"/>
        <v>24</v>
      </c>
      <c r="J10" s="7">
        <v>154.5</v>
      </c>
      <c r="K10" s="7" t="s">
        <v>161</v>
      </c>
      <c r="L10" s="7"/>
      <c r="M10" s="7"/>
      <c r="N10" s="7"/>
      <c r="O10" s="7" t="s">
        <v>29</v>
      </c>
      <c r="P10" s="7" t="s">
        <v>29</v>
      </c>
      <c r="Q10" s="7"/>
      <c r="R10" s="7"/>
      <c r="S10" s="7" t="s">
        <v>162</v>
      </c>
      <c r="T10" s="7"/>
      <c r="U10" s="7"/>
      <c r="V10" s="7"/>
      <c r="W10" s="7"/>
      <c r="X10" s="7" t="s">
        <v>29</v>
      </c>
      <c r="Y10" s="7" t="s">
        <v>29</v>
      </c>
      <c r="Z10" s="7" t="s">
        <v>103</v>
      </c>
      <c r="AA10" s="7" t="s">
        <v>163</v>
      </c>
      <c r="AB10" s="7"/>
      <c r="AC10" s="7"/>
      <c r="AD10" s="7"/>
      <c r="AE10" s="7" t="s">
        <v>29</v>
      </c>
      <c r="AF10" s="7"/>
      <c r="AG10" s="7"/>
      <c r="AH10" s="7" t="s">
        <v>29</v>
      </c>
      <c r="AI10" s="7" t="s">
        <v>164</v>
      </c>
      <c r="AJ10" s="7"/>
      <c r="AK10" s="7" t="s">
        <v>29</v>
      </c>
      <c r="AL10" s="7" t="s">
        <v>29</v>
      </c>
      <c r="AM10" s="7"/>
      <c r="AN10" s="7"/>
      <c r="AO10" s="7" t="s">
        <v>29</v>
      </c>
      <c r="AP10" s="7"/>
      <c r="AQ10" s="7" t="s">
        <v>165</v>
      </c>
      <c r="AR10" s="7"/>
      <c r="AS10" s="7" t="s">
        <v>29</v>
      </c>
      <c r="AT10" s="7"/>
      <c r="AU10" s="7"/>
      <c r="AV10" s="7"/>
      <c r="AW10" s="7" t="s">
        <v>166</v>
      </c>
      <c r="AX10" s="7"/>
      <c r="AY10" s="7" t="s">
        <v>29</v>
      </c>
      <c r="AZ10" s="7" t="s">
        <v>103</v>
      </c>
      <c r="BA10" s="7"/>
      <c r="BB10" s="7" t="s">
        <v>103</v>
      </c>
      <c r="BC10" s="7"/>
      <c r="BD10" s="7" t="s">
        <v>103</v>
      </c>
      <c r="BE10" s="7" t="s">
        <v>167</v>
      </c>
      <c r="BF10" s="7" t="s">
        <v>29</v>
      </c>
      <c r="BG10" s="7"/>
      <c r="BH10" s="7"/>
      <c r="BI10" s="7" t="s">
        <v>14</v>
      </c>
      <c r="BJ10" s="7"/>
      <c r="BK10" s="7" t="s">
        <v>29</v>
      </c>
      <c r="BL10" s="7" t="s">
        <v>29</v>
      </c>
      <c r="BM10" s="7" t="s">
        <v>168</v>
      </c>
      <c r="BN10" s="7"/>
      <c r="BO10" s="7"/>
      <c r="BP10" s="7" t="s">
        <v>29</v>
      </c>
      <c r="BQ10" s="7"/>
      <c r="BR10" s="7"/>
      <c r="BS10" s="7"/>
      <c r="BT10" s="7" t="s">
        <v>103</v>
      </c>
      <c r="BU10" s="7"/>
      <c r="BV10" s="7" t="s">
        <v>169</v>
      </c>
      <c r="BW10" s="7"/>
      <c r="BX10" s="7" t="s">
        <v>103</v>
      </c>
      <c r="BY10" s="7"/>
      <c r="BZ10" s="7"/>
      <c r="CA10" s="7"/>
      <c r="CB10" s="7"/>
      <c r="CC10" s="7"/>
      <c r="CD10" s="7" t="s">
        <v>170</v>
      </c>
      <c r="CE10" s="7"/>
      <c r="CF10" s="7"/>
      <c r="CG10" s="7" t="s">
        <v>29</v>
      </c>
      <c r="CH10" s="7"/>
      <c r="CI10" s="7"/>
      <c r="CJ10" s="7"/>
    </row>
    <row r="11" spans="1:88" x14ac:dyDescent="0.55000000000000004">
      <c r="A11" s="7" t="s">
        <v>27</v>
      </c>
      <c r="B11" s="7" t="s">
        <v>132</v>
      </c>
      <c r="C11" s="8">
        <v>43433</v>
      </c>
      <c r="D11" s="7"/>
      <c r="E11" s="7" t="s">
        <v>18</v>
      </c>
      <c r="F11" s="8">
        <v>37338</v>
      </c>
      <c r="G11" s="7" t="str">
        <f t="shared" si="2"/>
        <v>20020323</v>
      </c>
      <c r="H11" s="7" t="s">
        <v>28</v>
      </c>
      <c r="I11" s="7">
        <f t="shared" si="3"/>
        <v>25</v>
      </c>
      <c r="J11" s="7">
        <v>158.5</v>
      </c>
      <c r="K11" s="7" t="s">
        <v>161</v>
      </c>
      <c r="L11" s="7" t="s">
        <v>29</v>
      </c>
      <c r="M11" s="7" t="s">
        <v>29</v>
      </c>
      <c r="N11" s="7" t="s">
        <v>29</v>
      </c>
      <c r="O11" s="7"/>
      <c r="P11" s="7"/>
      <c r="Q11" s="7"/>
      <c r="R11" s="7"/>
      <c r="S11" s="7" t="s">
        <v>162</v>
      </c>
      <c r="T11" s="7"/>
      <c r="U11" s="7"/>
      <c r="V11" s="7" t="s">
        <v>29</v>
      </c>
      <c r="W11" s="7" t="s">
        <v>29</v>
      </c>
      <c r="X11" s="7"/>
      <c r="Y11" s="7"/>
      <c r="Z11" s="7" t="s">
        <v>103</v>
      </c>
      <c r="AA11" s="7" t="s">
        <v>163</v>
      </c>
      <c r="AB11" s="7" t="s">
        <v>29</v>
      </c>
      <c r="AC11" s="7" t="s">
        <v>29</v>
      </c>
      <c r="AD11" s="7"/>
      <c r="AE11" s="7" t="s">
        <v>14</v>
      </c>
      <c r="AF11" s="7"/>
      <c r="AG11" s="7"/>
      <c r="AH11" s="7"/>
      <c r="AI11" s="7" t="s">
        <v>164</v>
      </c>
      <c r="AJ11" s="7" t="s">
        <v>29</v>
      </c>
      <c r="AK11" s="7" t="s">
        <v>29</v>
      </c>
      <c r="AL11" s="7" t="s">
        <v>14</v>
      </c>
      <c r="AM11" s="7"/>
      <c r="AN11" s="7" t="s">
        <v>103</v>
      </c>
      <c r="AO11" s="7"/>
      <c r="AP11" s="7" t="s">
        <v>29</v>
      </c>
      <c r="AQ11" s="7" t="s">
        <v>165</v>
      </c>
      <c r="AR11" s="7" t="s">
        <v>29</v>
      </c>
      <c r="AS11" s="7"/>
      <c r="AT11" s="7"/>
      <c r="AU11" s="7"/>
      <c r="AV11" s="7"/>
      <c r="AW11" s="7" t="s">
        <v>166</v>
      </c>
      <c r="AX11" s="7" t="s">
        <v>29</v>
      </c>
      <c r="AY11" s="7"/>
      <c r="AZ11" s="7" t="s">
        <v>103</v>
      </c>
      <c r="BA11" s="7" t="s">
        <v>103</v>
      </c>
      <c r="BB11" s="7" t="s">
        <v>103</v>
      </c>
      <c r="BC11" s="7"/>
      <c r="BD11" s="7" t="s">
        <v>103</v>
      </c>
      <c r="BE11" s="7" t="s">
        <v>167</v>
      </c>
      <c r="BF11" s="7" t="s">
        <v>29</v>
      </c>
      <c r="BG11" s="7"/>
      <c r="BH11" s="7"/>
      <c r="BI11" s="7" t="s">
        <v>14</v>
      </c>
      <c r="BJ11" s="7"/>
      <c r="BK11" s="7" t="s">
        <v>29</v>
      </c>
      <c r="BL11" s="7" t="s">
        <v>29</v>
      </c>
      <c r="BM11" s="7" t="s">
        <v>168</v>
      </c>
      <c r="BN11" s="7" t="s">
        <v>29</v>
      </c>
      <c r="BO11" s="7"/>
      <c r="BP11" s="7"/>
      <c r="BQ11" s="7" t="s">
        <v>103</v>
      </c>
      <c r="BR11" s="7"/>
      <c r="BS11" s="7" t="s">
        <v>103</v>
      </c>
      <c r="BT11" s="7" t="s">
        <v>103</v>
      </c>
      <c r="BU11" s="7"/>
      <c r="BV11" s="7" t="s">
        <v>169</v>
      </c>
      <c r="BW11" s="7"/>
      <c r="BX11" s="7" t="s">
        <v>38</v>
      </c>
      <c r="BY11" s="7"/>
      <c r="BZ11" s="7"/>
      <c r="CA11" s="7"/>
      <c r="CB11" s="7"/>
      <c r="CC11" s="7"/>
      <c r="CD11" s="7" t="s">
        <v>170</v>
      </c>
      <c r="CE11" s="7"/>
      <c r="CF11" s="7"/>
      <c r="CG11" s="7" t="s">
        <v>49</v>
      </c>
      <c r="CH11" s="7" t="s">
        <v>103</v>
      </c>
      <c r="CI11" s="7"/>
      <c r="CJ11" s="7"/>
    </row>
    <row r="12" spans="1:88" x14ac:dyDescent="0.55000000000000004">
      <c r="A12" s="7" t="s">
        <v>30</v>
      </c>
      <c r="B12" s="7" t="s">
        <v>133</v>
      </c>
      <c r="C12" s="8">
        <v>43433</v>
      </c>
      <c r="D12" s="7"/>
      <c r="E12" s="7" t="s">
        <v>18</v>
      </c>
      <c r="F12" s="8">
        <v>36089</v>
      </c>
      <c r="G12" s="7" t="str">
        <f t="shared" si="2"/>
        <v>19981021</v>
      </c>
      <c r="H12" s="7" t="s">
        <v>31</v>
      </c>
      <c r="I12" s="7">
        <f t="shared" si="3"/>
        <v>27</v>
      </c>
      <c r="J12" s="7">
        <v>163</v>
      </c>
      <c r="K12" s="7" t="s">
        <v>161</v>
      </c>
      <c r="L12" s="7" t="s">
        <v>14</v>
      </c>
      <c r="M12" s="7" t="s">
        <v>14</v>
      </c>
      <c r="N12" s="7" t="s">
        <v>14</v>
      </c>
      <c r="O12" s="7" t="s">
        <v>14</v>
      </c>
      <c r="P12" s="7" t="s">
        <v>14</v>
      </c>
      <c r="Q12" s="7" t="s">
        <v>14</v>
      </c>
      <c r="R12" s="7" t="s">
        <v>14</v>
      </c>
      <c r="S12" s="7" t="s">
        <v>162</v>
      </c>
      <c r="T12" s="7" t="s">
        <v>14</v>
      </c>
      <c r="U12" s="7" t="s">
        <v>14</v>
      </c>
      <c r="V12" s="7" t="s">
        <v>14</v>
      </c>
      <c r="W12" s="7" t="s">
        <v>14</v>
      </c>
      <c r="X12" s="7" t="s">
        <v>14</v>
      </c>
      <c r="Y12" s="7" t="s">
        <v>14</v>
      </c>
      <c r="Z12" s="7" t="s">
        <v>103</v>
      </c>
      <c r="AA12" s="7" t="s">
        <v>163</v>
      </c>
      <c r="AB12" s="7" t="s">
        <v>38</v>
      </c>
      <c r="AC12" s="7" t="s">
        <v>38</v>
      </c>
      <c r="AD12" s="7" t="s">
        <v>49</v>
      </c>
      <c r="AE12" s="7"/>
      <c r="AF12" s="7"/>
      <c r="AG12" s="7"/>
      <c r="AH12" s="7" t="s">
        <v>14</v>
      </c>
      <c r="AI12" s="7" t="s">
        <v>164</v>
      </c>
      <c r="AJ12" s="7" t="s">
        <v>49</v>
      </c>
      <c r="AK12" s="7" t="s">
        <v>49</v>
      </c>
      <c r="AL12" s="7"/>
      <c r="AM12" s="7" t="s">
        <v>38</v>
      </c>
      <c r="AN12" s="7"/>
      <c r="AO12" s="7" t="s">
        <v>49</v>
      </c>
      <c r="AP12" s="7" t="s">
        <v>49</v>
      </c>
      <c r="AQ12" s="7" t="s">
        <v>165</v>
      </c>
      <c r="AR12" s="7" t="s">
        <v>49</v>
      </c>
      <c r="AS12" s="7" t="s">
        <v>49</v>
      </c>
      <c r="AT12" s="7"/>
      <c r="AU12" s="7"/>
      <c r="AV12" s="7" t="s">
        <v>103</v>
      </c>
      <c r="AW12" s="7" t="s">
        <v>166</v>
      </c>
      <c r="AX12" s="7" t="s">
        <v>14</v>
      </c>
      <c r="AY12" s="7" t="s">
        <v>14</v>
      </c>
      <c r="AZ12" s="7"/>
      <c r="BA12" s="7" t="s">
        <v>103</v>
      </c>
      <c r="BB12" s="7" t="s">
        <v>103</v>
      </c>
      <c r="BC12" s="7"/>
      <c r="BD12" s="7" t="s">
        <v>103</v>
      </c>
      <c r="BE12" s="7" t="s">
        <v>167</v>
      </c>
      <c r="BF12" s="7" t="s">
        <v>49</v>
      </c>
      <c r="BG12" s="7"/>
      <c r="BH12" s="7"/>
      <c r="BI12" s="7" t="s">
        <v>14</v>
      </c>
      <c r="BJ12" s="7"/>
      <c r="BK12" s="7" t="s">
        <v>49</v>
      </c>
      <c r="BL12" s="7" t="s">
        <v>38</v>
      </c>
      <c r="BM12" s="7" t="s">
        <v>168</v>
      </c>
      <c r="BN12" s="7" t="s">
        <v>14</v>
      </c>
      <c r="BO12" s="7"/>
      <c r="BP12" s="7"/>
      <c r="BQ12" s="7" t="s">
        <v>103</v>
      </c>
      <c r="BR12" s="7"/>
      <c r="BS12" s="7" t="s">
        <v>103</v>
      </c>
      <c r="BT12" s="7" t="s">
        <v>103</v>
      </c>
      <c r="BU12" s="7"/>
      <c r="BV12" s="7" t="s">
        <v>169</v>
      </c>
      <c r="BW12" s="7" t="s">
        <v>14</v>
      </c>
      <c r="BX12" s="7"/>
      <c r="BY12" s="7"/>
      <c r="BZ12" s="7"/>
      <c r="CA12" s="7"/>
      <c r="CB12" s="7"/>
      <c r="CC12" s="7" t="s">
        <v>103</v>
      </c>
      <c r="CD12" s="7" t="s">
        <v>170</v>
      </c>
      <c r="CE12" s="7" t="s">
        <v>49</v>
      </c>
      <c r="CF12" s="7"/>
      <c r="CG12" s="7"/>
      <c r="CH12" s="7"/>
      <c r="CI12" s="7"/>
      <c r="CJ12" s="7"/>
    </row>
    <row r="13" spans="1:88" x14ac:dyDescent="0.55000000000000004">
      <c r="A13" s="7" t="s">
        <v>32</v>
      </c>
      <c r="B13" s="7" t="s">
        <v>134</v>
      </c>
      <c r="C13" s="8">
        <v>43433</v>
      </c>
      <c r="D13" s="7"/>
      <c r="E13" s="7" t="s">
        <v>18</v>
      </c>
      <c r="F13" s="8">
        <v>37132</v>
      </c>
      <c r="G13" s="7" t="str">
        <f t="shared" si="2"/>
        <v>20010829</v>
      </c>
      <c r="H13" s="7" t="s">
        <v>31</v>
      </c>
      <c r="I13" s="7">
        <f t="shared" si="3"/>
        <v>27</v>
      </c>
      <c r="J13" s="7">
        <v>165.1</v>
      </c>
      <c r="K13" s="7" t="s">
        <v>161</v>
      </c>
      <c r="L13" s="7" t="s">
        <v>14</v>
      </c>
      <c r="M13" s="7" t="s">
        <v>14</v>
      </c>
      <c r="N13" s="7" t="s">
        <v>14</v>
      </c>
      <c r="O13" s="7" t="s">
        <v>38</v>
      </c>
      <c r="P13" s="7" t="s">
        <v>38</v>
      </c>
      <c r="Q13" s="7" t="s">
        <v>14</v>
      </c>
      <c r="R13" s="7" t="s">
        <v>14</v>
      </c>
      <c r="S13" s="7" t="s">
        <v>162</v>
      </c>
      <c r="T13" s="7" t="s">
        <v>14</v>
      </c>
      <c r="U13" s="7" t="s">
        <v>14</v>
      </c>
      <c r="V13" s="7" t="s">
        <v>38</v>
      </c>
      <c r="W13" s="7" t="s">
        <v>38</v>
      </c>
      <c r="X13" s="7" t="s">
        <v>14</v>
      </c>
      <c r="Y13" s="7" t="s">
        <v>14</v>
      </c>
      <c r="Z13" s="7" t="s">
        <v>103</v>
      </c>
      <c r="AA13" s="7" t="s">
        <v>163</v>
      </c>
      <c r="AB13" s="7" t="s">
        <v>29</v>
      </c>
      <c r="AC13" s="7" t="s">
        <v>29</v>
      </c>
      <c r="AD13" s="7"/>
      <c r="AE13" s="7" t="s">
        <v>49</v>
      </c>
      <c r="AF13" s="7" t="s">
        <v>103</v>
      </c>
      <c r="AG13" s="7"/>
      <c r="AH13" s="7"/>
      <c r="AI13" s="7" t="s">
        <v>164</v>
      </c>
      <c r="AJ13" s="7" t="s">
        <v>14</v>
      </c>
      <c r="AK13" s="7" t="s">
        <v>14</v>
      </c>
      <c r="AL13" s="7"/>
      <c r="AM13" s="7" t="s">
        <v>14</v>
      </c>
      <c r="AN13" s="7"/>
      <c r="AO13" s="7" t="s">
        <v>14</v>
      </c>
      <c r="AP13" s="7" t="s">
        <v>14</v>
      </c>
      <c r="AQ13" s="7" t="s">
        <v>165</v>
      </c>
      <c r="AR13" s="7" t="s">
        <v>49</v>
      </c>
      <c r="AS13" s="7" t="s">
        <v>14</v>
      </c>
      <c r="AT13" s="7" t="s">
        <v>103</v>
      </c>
      <c r="AU13" s="7"/>
      <c r="AV13" s="7"/>
      <c r="AW13" s="7" t="s">
        <v>166</v>
      </c>
      <c r="AX13" s="7" t="s">
        <v>14</v>
      </c>
      <c r="AY13" s="7" t="s">
        <v>14</v>
      </c>
      <c r="AZ13" s="7"/>
      <c r="BA13" s="7" t="s">
        <v>103</v>
      </c>
      <c r="BB13" s="7" t="s">
        <v>103</v>
      </c>
      <c r="BC13" s="7"/>
      <c r="BD13" s="7" t="s">
        <v>103</v>
      </c>
      <c r="BE13" s="7" t="s">
        <v>167</v>
      </c>
      <c r="BF13" s="7" t="s">
        <v>38</v>
      </c>
      <c r="BG13" s="7"/>
      <c r="BH13" s="7"/>
      <c r="BI13" s="7" t="s">
        <v>14</v>
      </c>
      <c r="BJ13" s="7"/>
      <c r="BK13" s="7" t="s">
        <v>38</v>
      </c>
      <c r="BL13" s="7" t="s">
        <v>49</v>
      </c>
      <c r="BM13" s="7" t="s">
        <v>168</v>
      </c>
      <c r="BN13" s="7" t="s">
        <v>14</v>
      </c>
      <c r="BO13" s="7"/>
      <c r="BP13" s="7"/>
      <c r="BQ13" s="7" t="s">
        <v>103</v>
      </c>
      <c r="BR13" s="7"/>
      <c r="BS13" s="7" t="s">
        <v>103</v>
      </c>
      <c r="BT13" s="7" t="s">
        <v>103</v>
      </c>
      <c r="BU13" s="7"/>
      <c r="BV13" s="7" t="s">
        <v>169</v>
      </c>
      <c r="BW13" s="7" t="s">
        <v>49</v>
      </c>
      <c r="BX13" s="7"/>
      <c r="BY13" s="7"/>
      <c r="BZ13" s="7"/>
      <c r="CA13" s="7"/>
      <c r="CB13" s="7" t="s">
        <v>103</v>
      </c>
      <c r="CC13" s="7" t="s">
        <v>103</v>
      </c>
      <c r="CD13" s="7" t="s">
        <v>170</v>
      </c>
      <c r="CE13" s="7" t="s">
        <v>14</v>
      </c>
      <c r="CF13" s="7"/>
      <c r="CG13" s="7"/>
      <c r="CH13" s="7"/>
      <c r="CI13" s="7"/>
      <c r="CJ13" s="7"/>
    </row>
    <row r="14" spans="1:88" x14ac:dyDescent="0.55000000000000004">
      <c r="A14" s="7" t="s">
        <v>33</v>
      </c>
      <c r="B14" s="7" t="s">
        <v>135</v>
      </c>
      <c r="C14" s="8">
        <v>43877</v>
      </c>
      <c r="D14" s="7"/>
      <c r="E14" s="7" t="s">
        <v>18</v>
      </c>
      <c r="F14" s="8">
        <v>36903</v>
      </c>
      <c r="G14" s="7" t="str">
        <f t="shared" si="2"/>
        <v>20010112</v>
      </c>
      <c r="H14" s="7" t="s">
        <v>13</v>
      </c>
      <c r="I14" s="7">
        <f t="shared" si="3"/>
        <v>28</v>
      </c>
      <c r="J14" s="7">
        <v>158.4</v>
      </c>
      <c r="K14" s="7" t="s">
        <v>161</v>
      </c>
      <c r="L14" s="7"/>
      <c r="M14" s="7"/>
      <c r="N14" s="7"/>
      <c r="O14" s="7" t="s">
        <v>29</v>
      </c>
      <c r="P14" s="7" t="s">
        <v>29</v>
      </c>
      <c r="Q14" s="7"/>
      <c r="R14" s="7"/>
      <c r="S14" s="7" t="s">
        <v>162</v>
      </c>
      <c r="T14" s="7"/>
      <c r="U14" s="7"/>
      <c r="V14" s="7"/>
      <c r="W14" s="7"/>
      <c r="X14" s="7" t="s">
        <v>29</v>
      </c>
      <c r="Y14" s="7" t="s">
        <v>29</v>
      </c>
      <c r="Z14" s="7" t="s">
        <v>103</v>
      </c>
      <c r="AA14" s="7" t="s">
        <v>163</v>
      </c>
      <c r="AB14" s="7"/>
      <c r="AC14" s="7"/>
      <c r="AD14" s="7" t="s">
        <v>29</v>
      </c>
      <c r="AE14" s="7" t="s">
        <v>29</v>
      </c>
      <c r="AF14" s="7"/>
      <c r="AG14" s="7"/>
      <c r="AH14" s="7"/>
      <c r="AI14" s="7" t="s">
        <v>164</v>
      </c>
      <c r="AJ14" s="7"/>
      <c r="AK14" s="7" t="s">
        <v>29</v>
      </c>
      <c r="AL14" s="7" t="s">
        <v>14</v>
      </c>
      <c r="AM14" s="7"/>
      <c r="AN14" s="7"/>
      <c r="AO14" s="7" t="s">
        <v>29</v>
      </c>
      <c r="AP14" s="7"/>
      <c r="AQ14" s="7" t="s">
        <v>165</v>
      </c>
      <c r="AR14" s="7"/>
      <c r="AS14" s="7" t="s">
        <v>29</v>
      </c>
      <c r="AT14" s="7"/>
      <c r="AU14" s="7"/>
      <c r="AV14" s="7"/>
      <c r="AW14" s="7" t="s">
        <v>166</v>
      </c>
      <c r="AX14" s="7" t="s">
        <v>29</v>
      </c>
      <c r="AY14" s="7"/>
      <c r="AZ14" s="7" t="s">
        <v>103</v>
      </c>
      <c r="BA14" s="7" t="s">
        <v>103</v>
      </c>
      <c r="BB14" s="7" t="s">
        <v>103</v>
      </c>
      <c r="BC14" s="7"/>
      <c r="BD14" s="7" t="s">
        <v>103</v>
      </c>
      <c r="BE14" s="7" t="s">
        <v>167</v>
      </c>
      <c r="BF14" s="7" t="s">
        <v>14</v>
      </c>
      <c r="BG14" s="7"/>
      <c r="BH14" s="7"/>
      <c r="BI14" s="7" t="s">
        <v>38</v>
      </c>
      <c r="BJ14" s="7"/>
      <c r="BK14" s="7" t="s">
        <v>14</v>
      </c>
      <c r="BL14" s="7" t="s">
        <v>14</v>
      </c>
      <c r="BM14" s="7" t="s">
        <v>168</v>
      </c>
      <c r="BN14" s="7" t="s">
        <v>29</v>
      </c>
      <c r="BO14" s="7"/>
      <c r="BP14" s="7"/>
      <c r="BQ14" s="7"/>
      <c r="BR14" s="7"/>
      <c r="BS14" s="7" t="s">
        <v>103</v>
      </c>
      <c r="BT14" s="7" t="s">
        <v>103</v>
      </c>
      <c r="BU14" s="7"/>
      <c r="BV14" s="7" t="s">
        <v>169</v>
      </c>
      <c r="BW14" s="7" t="s">
        <v>29</v>
      </c>
      <c r="BX14" s="7"/>
      <c r="BY14" s="7"/>
      <c r="BZ14" s="7"/>
      <c r="CA14" s="7"/>
      <c r="CB14" s="7"/>
      <c r="CC14" s="7" t="s">
        <v>103</v>
      </c>
      <c r="CD14" s="7" t="s">
        <v>170</v>
      </c>
      <c r="CE14" s="7"/>
      <c r="CF14" s="7"/>
      <c r="CG14" s="7" t="s">
        <v>49</v>
      </c>
      <c r="CH14" s="7" t="s">
        <v>103</v>
      </c>
      <c r="CI14" s="7"/>
      <c r="CJ14" s="7"/>
    </row>
    <row r="15" spans="1:88" x14ac:dyDescent="0.55000000000000004">
      <c r="A15" s="7" t="s">
        <v>34</v>
      </c>
      <c r="B15" s="7" t="s">
        <v>136</v>
      </c>
      <c r="C15" s="8">
        <v>43433</v>
      </c>
      <c r="D15" s="7"/>
      <c r="E15" s="7" t="s">
        <v>18</v>
      </c>
      <c r="F15" s="8">
        <v>36446</v>
      </c>
      <c r="G15" s="7" t="str">
        <f t="shared" si="2"/>
        <v>19991013</v>
      </c>
      <c r="H15" s="7" t="s">
        <v>35</v>
      </c>
      <c r="I15" s="7">
        <f t="shared" si="3"/>
        <v>45</v>
      </c>
      <c r="J15" s="7">
        <v>159.5</v>
      </c>
      <c r="K15" s="7" t="s">
        <v>161</v>
      </c>
      <c r="L15" s="7" t="s">
        <v>29</v>
      </c>
      <c r="M15" s="7" t="s">
        <v>29</v>
      </c>
      <c r="N15" s="7" t="s">
        <v>29</v>
      </c>
      <c r="O15" s="7"/>
      <c r="P15" s="7"/>
      <c r="Q15" s="7"/>
      <c r="R15" s="7"/>
      <c r="S15" s="7" t="s">
        <v>162</v>
      </c>
      <c r="T15" s="7" t="s">
        <v>29</v>
      </c>
      <c r="U15" s="7" t="s">
        <v>29</v>
      </c>
      <c r="V15" s="7"/>
      <c r="W15" s="7"/>
      <c r="X15" s="7"/>
      <c r="Y15" s="7"/>
      <c r="Z15" s="7" t="s">
        <v>103</v>
      </c>
      <c r="AA15" s="7" t="s">
        <v>163</v>
      </c>
      <c r="AB15" s="7" t="s">
        <v>29</v>
      </c>
      <c r="AC15" s="7" t="s">
        <v>29</v>
      </c>
      <c r="AD15" s="7"/>
      <c r="AE15" s="7" t="s">
        <v>49</v>
      </c>
      <c r="AF15" s="7"/>
      <c r="AG15" s="7" t="s">
        <v>103</v>
      </c>
      <c r="AH15" s="7"/>
      <c r="AI15" s="7" t="s">
        <v>164</v>
      </c>
      <c r="AJ15" s="7" t="s">
        <v>29</v>
      </c>
      <c r="AK15" s="7" t="s">
        <v>29</v>
      </c>
      <c r="AL15" s="7" t="s">
        <v>49</v>
      </c>
      <c r="AM15" s="7"/>
      <c r="AN15" s="7"/>
      <c r="AO15" s="7"/>
      <c r="AP15" s="7" t="s">
        <v>29</v>
      </c>
      <c r="AQ15" s="7" t="s">
        <v>165</v>
      </c>
      <c r="AR15" s="7" t="s">
        <v>29</v>
      </c>
      <c r="AS15" s="7"/>
      <c r="AT15" s="7"/>
      <c r="AU15" s="7"/>
      <c r="AV15" s="7"/>
      <c r="AW15" s="7" t="s">
        <v>166</v>
      </c>
      <c r="AX15" s="7" t="s">
        <v>29</v>
      </c>
      <c r="AY15" s="7"/>
      <c r="AZ15" s="7" t="s">
        <v>38</v>
      </c>
      <c r="BA15" s="7" t="s">
        <v>103</v>
      </c>
      <c r="BB15" s="7" t="s">
        <v>103</v>
      </c>
      <c r="BC15" s="7"/>
      <c r="BD15" s="7" t="s">
        <v>103</v>
      </c>
      <c r="BE15" s="7" t="s">
        <v>167</v>
      </c>
      <c r="BF15" s="7" t="s">
        <v>14</v>
      </c>
      <c r="BG15" s="7"/>
      <c r="BH15" s="7"/>
      <c r="BI15" s="7" t="s">
        <v>49</v>
      </c>
      <c r="BJ15" s="7"/>
      <c r="BK15" s="7" t="s">
        <v>14</v>
      </c>
      <c r="BL15" s="7" t="s">
        <v>14</v>
      </c>
      <c r="BM15" s="7" t="s">
        <v>168</v>
      </c>
      <c r="BN15" s="7" t="s">
        <v>29</v>
      </c>
      <c r="BO15" s="7"/>
      <c r="BP15" s="7"/>
      <c r="BQ15" s="7"/>
      <c r="BR15" s="7"/>
      <c r="BS15" s="7" t="s">
        <v>103</v>
      </c>
      <c r="BT15" s="7" t="s">
        <v>103</v>
      </c>
      <c r="BU15" s="7"/>
      <c r="BV15" s="7" t="s">
        <v>169</v>
      </c>
      <c r="BW15" s="7" t="s">
        <v>29</v>
      </c>
      <c r="BX15" s="7"/>
      <c r="BY15" s="7"/>
      <c r="BZ15" s="7"/>
      <c r="CA15" s="7"/>
      <c r="CB15" s="7"/>
      <c r="CC15" s="7" t="s">
        <v>103</v>
      </c>
      <c r="CD15" s="7" t="s">
        <v>170</v>
      </c>
      <c r="CE15" s="7" t="s">
        <v>29</v>
      </c>
      <c r="CF15" s="7"/>
      <c r="CG15" s="7"/>
      <c r="CH15" s="7"/>
      <c r="CI15" s="7" t="s">
        <v>103</v>
      </c>
      <c r="CJ15" s="7"/>
    </row>
    <row r="16" spans="1:88" x14ac:dyDescent="0.55000000000000004">
      <c r="A16" s="7" t="s">
        <v>36</v>
      </c>
      <c r="B16" s="7" t="s">
        <v>137</v>
      </c>
      <c r="C16" s="8">
        <v>43433</v>
      </c>
      <c r="D16" s="7"/>
      <c r="E16" s="7" t="s">
        <v>18</v>
      </c>
      <c r="F16" s="8">
        <v>37082</v>
      </c>
      <c r="G16" s="7" t="str">
        <f t="shared" si="2"/>
        <v>20010710</v>
      </c>
      <c r="H16" s="7" t="s">
        <v>37</v>
      </c>
      <c r="I16" s="7">
        <f t="shared" si="3"/>
        <v>40</v>
      </c>
      <c r="J16" s="7">
        <v>150.5</v>
      </c>
      <c r="K16" s="7" t="s">
        <v>161</v>
      </c>
      <c r="L16" s="7" t="s">
        <v>38</v>
      </c>
      <c r="M16" s="7" t="s">
        <v>38</v>
      </c>
      <c r="N16" s="7" t="s">
        <v>38</v>
      </c>
      <c r="O16" s="7" t="s">
        <v>14</v>
      </c>
      <c r="P16" s="7" t="s">
        <v>14</v>
      </c>
      <c r="Q16" s="7" t="s">
        <v>14</v>
      </c>
      <c r="R16" s="7" t="s">
        <v>14</v>
      </c>
      <c r="S16" s="7" t="s">
        <v>162</v>
      </c>
      <c r="T16" s="7" t="s">
        <v>38</v>
      </c>
      <c r="U16" s="7" t="s">
        <v>38</v>
      </c>
      <c r="V16" s="7" t="s">
        <v>14</v>
      </c>
      <c r="W16" s="7" t="s">
        <v>14</v>
      </c>
      <c r="X16" s="7" t="s">
        <v>14</v>
      </c>
      <c r="Y16" s="7" t="s">
        <v>14</v>
      </c>
      <c r="Z16" s="7" t="s">
        <v>103</v>
      </c>
      <c r="AA16" s="7" t="s">
        <v>163</v>
      </c>
      <c r="AB16" s="7" t="s">
        <v>49</v>
      </c>
      <c r="AC16" s="7" t="s">
        <v>49</v>
      </c>
      <c r="AD16" s="7" t="s">
        <v>38</v>
      </c>
      <c r="AE16" s="7"/>
      <c r="AF16" s="7"/>
      <c r="AG16" s="7"/>
      <c r="AH16" s="7" t="s">
        <v>49</v>
      </c>
      <c r="AI16" s="7" t="s">
        <v>164</v>
      </c>
      <c r="AJ16" s="7" t="s">
        <v>49</v>
      </c>
      <c r="AK16" s="7" t="s">
        <v>49</v>
      </c>
      <c r="AL16" s="7"/>
      <c r="AM16" s="7" t="s">
        <v>49</v>
      </c>
      <c r="AN16" s="7" t="s">
        <v>103</v>
      </c>
      <c r="AO16" s="7" t="s">
        <v>38</v>
      </c>
      <c r="AP16" s="7" t="s">
        <v>49</v>
      </c>
      <c r="AQ16" s="7" t="s">
        <v>165</v>
      </c>
      <c r="AR16" s="7" t="s">
        <v>38</v>
      </c>
      <c r="AS16" s="7" t="s">
        <v>14</v>
      </c>
      <c r="AT16" s="7" t="s">
        <v>103</v>
      </c>
      <c r="AU16" s="7"/>
      <c r="AV16" s="7"/>
      <c r="AW16" s="7" t="s">
        <v>166</v>
      </c>
      <c r="AX16" s="7" t="s">
        <v>14</v>
      </c>
      <c r="AY16" s="7" t="s">
        <v>14</v>
      </c>
      <c r="AZ16" s="7"/>
      <c r="BA16" s="7" t="s">
        <v>103</v>
      </c>
      <c r="BB16" s="7" t="s">
        <v>103</v>
      </c>
      <c r="BC16" s="7"/>
      <c r="BD16" s="7" t="s">
        <v>103</v>
      </c>
      <c r="BE16" s="7" t="s">
        <v>167</v>
      </c>
      <c r="BF16" s="7" t="s">
        <v>49</v>
      </c>
      <c r="BG16" s="7"/>
      <c r="BH16" s="7"/>
      <c r="BI16" s="7" t="s">
        <v>49</v>
      </c>
      <c r="BJ16" s="7"/>
      <c r="BK16" s="7" t="s">
        <v>49</v>
      </c>
      <c r="BL16" s="7" t="s">
        <v>49</v>
      </c>
      <c r="BM16" s="7" t="s">
        <v>168</v>
      </c>
      <c r="BN16" s="7" t="s">
        <v>38</v>
      </c>
      <c r="BO16" s="7"/>
      <c r="BP16" s="7"/>
      <c r="BQ16" s="7" t="s">
        <v>103</v>
      </c>
      <c r="BR16" s="7"/>
      <c r="BS16" s="7" t="s">
        <v>38</v>
      </c>
      <c r="BT16" s="7" t="s">
        <v>103</v>
      </c>
      <c r="BU16" s="7"/>
      <c r="BV16" s="7" t="s">
        <v>169</v>
      </c>
      <c r="BW16" s="7" t="s">
        <v>49</v>
      </c>
      <c r="BX16" s="7"/>
      <c r="BY16" s="7"/>
      <c r="BZ16" s="7"/>
      <c r="CA16" s="7" t="s">
        <v>103</v>
      </c>
      <c r="CB16" s="7"/>
      <c r="CC16" s="7" t="s">
        <v>103</v>
      </c>
      <c r="CD16" s="7" t="s">
        <v>170</v>
      </c>
      <c r="CE16" s="7" t="s">
        <v>14</v>
      </c>
      <c r="CF16" s="7"/>
      <c r="CG16" s="7"/>
      <c r="CH16" s="7"/>
      <c r="CI16" s="7"/>
      <c r="CJ16" s="7"/>
    </row>
    <row r="17" spans="1:88" x14ac:dyDescent="0.55000000000000004">
      <c r="A17" s="7" t="s">
        <v>39</v>
      </c>
      <c r="B17" s="7" t="s">
        <v>138</v>
      </c>
      <c r="C17" s="8">
        <v>43877</v>
      </c>
      <c r="D17" s="7"/>
      <c r="E17" s="7" t="s">
        <v>18</v>
      </c>
      <c r="F17" s="8">
        <v>36527</v>
      </c>
      <c r="G17" s="7" t="str">
        <f t="shared" si="2"/>
        <v>20000102</v>
      </c>
      <c r="H17" s="7" t="s">
        <v>16</v>
      </c>
      <c r="I17" s="7">
        <f t="shared" si="3"/>
        <v>13</v>
      </c>
      <c r="J17" s="7">
        <v>154</v>
      </c>
      <c r="K17" s="7" t="s">
        <v>161</v>
      </c>
      <c r="L17" s="7"/>
      <c r="M17" s="7"/>
      <c r="N17" s="7"/>
      <c r="O17" s="7"/>
      <c r="P17" s="7"/>
      <c r="Q17" s="7" t="s">
        <v>29</v>
      </c>
      <c r="R17" s="7" t="s">
        <v>29</v>
      </c>
      <c r="S17" s="7" t="s">
        <v>162</v>
      </c>
      <c r="T17" s="7" t="s">
        <v>29</v>
      </c>
      <c r="U17" s="7" t="s">
        <v>29</v>
      </c>
      <c r="V17" s="7"/>
      <c r="W17" s="7"/>
      <c r="X17" s="7"/>
      <c r="Y17" s="7"/>
      <c r="Z17" s="7" t="s">
        <v>103</v>
      </c>
      <c r="AA17" s="7" t="s">
        <v>163</v>
      </c>
      <c r="AB17" s="7" t="s">
        <v>29</v>
      </c>
      <c r="AC17" s="7" t="s">
        <v>29</v>
      </c>
      <c r="AD17" s="7"/>
      <c r="AE17" s="7" t="s">
        <v>49</v>
      </c>
      <c r="AF17" s="7"/>
      <c r="AG17" s="7"/>
      <c r="AH17" s="7"/>
      <c r="AI17" s="7" t="s">
        <v>164</v>
      </c>
      <c r="AJ17" s="7" t="s">
        <v>14</v>
      </c>
      <c r="AK17" s="7" t="s">
        <v>14</v>
      </c>
      <c r="AL17" s="7"/>
      <c r="AM17" s="7" t="s">
        <v>14</v>
      </c>
      <c r="AN17" s="7" t="s">
        <v>103</v>
      </c>
      <c r="AO17" s="7" t="s">
        <v>14</v>
      </c>
      <c r="AP17" s="7" t="s">
        <v>14</v>
      </c>
      <c r="AQ17" s="7" t="s">
        <v>165</v>
      </c>
      <c r="AR17" s="7" t="s">
        <v>14</v>
      </c>
      <c r="AS17" s="7" t="s">
        <v>49</v>
      </c>
      <c r="AT17" s="7"/>
      <c r="AU17" s="7"/>
      <c r="AV17" s="7" t="s">
        <v>103</v>
      </c>
      <c r="AW17" s="7" t="s">
        <v>166</v>
      </c>
      <c r="AX17" s="7" t="s">
        <v>38</v>
      </c>
      <c r="AY17" s="7" t="s">
        <v>14</v>
      </c>
      <c r="AZ17" s="7"/>
      <c r="BA17" s="7" t="s">
        <v>38</v>
      </c>
      <c r="BB17" s="7" t="s">
        <v>38</v>
      </c>
      <c r="BC17" s="7"/>
      <c r="BD17" s="7" t="s">
        <v>103</v>
      </c>
      <c r="BE17" s="7" t="s">
        <v>167</v>
      </c>
      <c r="BF17" s="7" t="s">
        <v>49</v>
      </c>
      <c r="BG17" s="7"/>
      <c r="BH17" s="7"/>
      <c r="BI17" s="7" t="s">
        <v>14</v>
      </c>
      <c r="BJ17" s="7"/>
      <c r="BK17" s="7" t="s">
        <v>49</v>
      </c>
      <c r="BL17" s="7" t="s">
        <v>49</v>
      </c>
      <c r="BM17" s="7" t="s">
        <v>168</v>
      </c>
      <c r="BN17" s="7" t="s">
        <v>14</v>
      </c>
      <c r="BO17" s="7"/>
      <c r="BP17" s="7"/>
      <c r="BQ17" s="7"/>
      <c r="BR17" s="7"/>
      <c r="BS17" s="7" t="s">
        <v>103</v>
      </c>
      <c r="BT17" s="7" t="s">
        <v>103</v>
      </c>
      <c r="BU17" s="7"/>
      <c r="BV17" s="7" t="s">
        <v>169</v>
      </c>
      <c r="BW17" s="7" t="s">
        <v>14</v>
      </c>
      <c r="BX17" s="7"/>
      <c r="BY17" s="7"/>
      <c r="BZ17" s="7"/>
      <c r="CA17" s="7"/>
      <c r="CB17" s="7"/>
      <c r="CC17" s="7" t="s">
        <v>103</v>
      </c>
      <c r="CD17" s="7" t="s">
        <v>170</v>
      </c>
      <c r="CE17" s="7" t="s">
        <v>49</v>
      </c>
      <c r="CF17" s="7"/>
      <c r="CG17" s="7"/>
      <c r="CH17" s="7"/>
      <c r="CI17" s="7"/>
      <c r="CJ17" s="7"/>
    </row>
    <row r="18" spans="1:88" x14ac:dyDescent="0.55000000000000004">
      <c r="A18" s="7" t="s">
        <v>104</v>
      </c>
      <c r="B18" s="7" t="s">
        <v>139</v>
      </c>
      <c r="C18" s="8">
        <v>43433</v>
      </c>
      <c r="D18" s="7"/>
      <c r="E18" s="7" t="s">
        <v>18</v>
      </c>
      <c r="F18" s="8">
        <v>38623</v>
      </c>
      <c r="G18" s="7" t="str">
        <f t="shared" si="2"/>
        <v>20050928</v>
      </c>
      <c r="H18" s="7" t="s">
        <v>31</v>
      </c>
      <c r="I18" s="7">
        <f t="shared" si="3"/>
        <v>27</v>
      </c>
      <c r="J18" s="7">
        <v>168.4</v>
      </c>
      <c r="K18" s="7" t="s">
        <v>161</v>
      </c>
      <c r="L18" s="7" t="s">
        <v>14</v>
      </c>
      <c r="M18" s="7" t="s">
        <v>14</v>
      </c>
      <c r="N18" s="7" t="s">
        <v>14</v>
      </c>
      <c r="O18" s="7" t="s">
        <v>14</v>
      </c>
      <c r="P18" s="7" t="s">
        <v>14</v>
      </c>
      <c r="Q18" s="7" t="s">
        <v>38</v>
      </c>
      <c r="R18" s="7" t="s">
        <v>38</v>
      </c>
      <c r="S18" s="7" t="s">
        <v>162</v>
      </c>
      <c r="T18" s="7" t="s">
        <v>14</v>
      </c>
      <c r="U18" s="7" t="s">
        <v>14</v>
      </c>
      <c r="V18" s="7" t="s">
        <v>14</v>
      </c>
      <c r="W18" s="7" t="s">
        <v>14</v>
      </c>
      <c r="X18" s="7" t="s">
        <v>38</v>
      </c>
      <c r="Y18" s="7" t="s">
        <v>38</v>
      </c>
      <c r="Z18" s="7" t="s">
        <v>103</v>
      </c>
      <c r="AA18" s="7" t="s">
        <v>163</v>
      </c>
      <c r="AB18" s="7" t="s">
        <v>49</v>
      </c>
      <c r="AC18" s="7" t="s">
        <v>49</v>
      </c>
      <c r="AD18" s="7" t="s">
        <v>49</v>
      </c>
      <c r="AE18" s="7"/>
      <c r="AF18" s="7"/>
      <c r="AG18" s="7"/>
      <c r="AH18" s="7" t="s">
        <v>49</v>
      </c>
      <c r="AI18" s="7" t="s">
        <v>164</v>
      </c>
      <c r="AJ18" s="7" t="s">
        <v>38</v>
      </c>
      <c r="AK18" s="7" t="s">
        <v>14</v>
      </c>
      <c r="AL18" s="7"/>
      <c r="AM18" s="7" t="s">
        <v>49</v>
      </c>
      <c r="AN18" s="7" t="s">
        <v>103</v>
      </c>
      <c r="AO18" s="7" t="s">
        <v>49</v>
      </c>
      <c r="AP18" s="7" t="s">
        <v>38</v>
      </c>
      <c r="AQ18" s="7" t="s">
        <v>165</v>
      </c>
      <c r="AR18" s="7" t="s">
        <v>38</v>
      </c>
      <c r="AS18" s="7" t="s">
        <v>38</v>
      </c>
      <c r="AT18" s="7"/>
      <c r="AU18" s="7"/>
      <c r="AV18" s="7"/>
      <c r="AW18" s="7" t="s">
        <v>166</v>
      </c>
      <c r="AX18" s="7" t="s">
        <v>14</v>
      </c>
      <c r="AY18" s="7" t="s">
        <v>14</v>
      </c>
      <c r="AZ18" s="7"/>
      <c r="BA18" s="7" t="s">
        <v>103</v>
      </c>
      <c r="BB18" s="7" t="s">
        <v>103</v>
      </c>
      <c r="BC18" s="7"/>
      <c r="BD18" s="7" t="s">
        <v>103</v>
      </c>
      <c r="BE18" s="7" t="s">
        <v>167</v>
      </c>
      <c r="BF18" s="7" t="s">
        <v>49</v>
      </c>
      <c r="BG18" s="7"/>
      <c r="BH18" s="7"/>
      <c r="BI18" s="7" t="s">
        <v>49</v>
      </c>
      <c r="BJ18" s="7"/>
      <c r="BK18" s="7" t="s">
        <v>49</v>
      </c>
      <c r="BL18" s="7" t="s">
        <v>49</v>
      </c>
      <c r="BM18" s="7" t="s">
        <v>168</v>
      </c>
      <c r="BN18" s="7" t="s">
        <v>14</v>
      </c>
      <c r="BO18" s="7"/>
      <c r="BP18" s="7"/>
      <c r="BQ18" s="7" t="s">
        <v>38</v>
      </c>
      <c r="BR18" s="7"/>
      <c r="BS18" s="7" t="s">
        <v>103</v>
      </c>
      <c r="BT18" s="7" t="s">
        <v>103</v>
      </c>
      <c r="BU18" s="7"/>
      <c r="BV18" s="7" t="s">
        <v>169</v>
      </c>
      <c r="BW18" s="7" t="s">
        <v>38</v>
      </c>
      <c r="BX18" s="7"/>
      <c r="BY18" s="7"/>
      <c r="BZ18" s="7" t="s">
        <v>103</v>
      </c>
      <c r="CA18" s="7"/>
      <c r="CB18" s="7"/>
      <c r="CC18" s="7" t="s">
        <v>103</v>
      </c>
      <c r="CD18" s="7" t="s">
        <v>170</v>
      </c>
      <c r="CE18" s="7" t="s">
        <v>14</v>
      </c>
      <c r="CF18" s="7"/>
      <c r="CG18" s="7"/>
      <c r="CH18" s="7"/>
      <c r="CI18" s="7"/>
      <c r="CJ18" s="7"/>
    </row>
    <row r="19" spans="1:88" x14ac:dyDescent="0.55000000000000004">
      <c r="A19" s="7" t="s">
        <v>40</v>
      </c>
      <c r="B19" s="7" t="s">
        <v>140</v>
      </c>
      <c r="C19" s="8">
        <v>44931</v>
      </c>
      <c r="D19" s="7"/>
      <c r="E19" s="7" t="s">
        <v>41</v>
      </c>
      <c r="F19" s="8">
        <v>37269</v>
      </c>
      <c r="G19" s="7" t="str">
        <f t="shared" si="2"/>
        <v>20020113</v>
      </c>
      <c r="H19" s="7" t="s">
        <v>42</v>
      </c>
      <c r="I19" s="7">
        <f t="shared" si="3"/>
        <v>10</v>
      </c>
      <c r="J19" s="7">
        <v>159</v>
      </c>
      <c r="K19" s="7" t="s">
        <v>161</v>
      </c>
      <c r="L19" s="7" t="s">
        <v>177</v>
      </c>
      <c r="M19" s="7" t="s">
        <v>177</v>
      </c>
      <c r="N19" s="7" t="s">
        <v>177</v>
      </c>
      <c r="O19" s="7" t="s">
        <v>177</v>
      </c>
      <c r="P19" s="7" t="s">
        <v>177</v>
      </c>
      <c r="Q19" s="7" t="s">
        <v>177</v>
      </c>
      <c r="R19" s="7" t="s">
        <v>177</v>
      </c>
      <c r="S19" s="7" t="s">
        <v>162</v>
      </c>
      <c r="T19" s="7" t="s">
        <v>177</v>
      </c>
      <c r="U19" s="7" t="s">
        <v>177</v>
      </c>
      <c r="V19" s="7" t="s">
        <v>177</v>
      </c>
      <c r="W19" s="7" t="s">
        <v>177</v>
      </c>
      <c r="X19" s="7" t="s">
        <v>177</v>
      </c>
      <c r="Y19" s="7" t="s">
        <v>177</v>
      </c>
      <c r="Z19" s="7" t="s">
        <v>177</v>
      </c>
      <c r="AA19" s="7" t="s">
        <v>163</v>
      </c>
      <c r="AB19" s="7" t="s">
        <v>177</v>
      </c>
      <c r="AC19" s="7" t="s">
        <v>177</v>
      </c>
      <c r="AD19" s="7" t="s">
        <v>177</v>
      </c>
      <c r="AE19" s="7" t="s">
        <v>177</v>
      </c>
      <c r="AF19" s="7" t="s">
        <v>177</v>
      </c>
      <c r="AG19" s="7" t="s">
        <v>177</v>
      </c>
      <c r="AH19" s="7" t="s">
        <v>177</v>
      </c>
      <c r="AI19" s="7" t="s">
        <v>164</v>
      </c>
      <c r="AJ19" s="7" t="s">
        <v>177</v>
      </c>
      <c r="AK19" s="7" t="s">
        <v>177</v>
      </c>
      <c r="AL19" s="7" t="s">
        <v>177</v>
      </c>
      <c r="AM19" s="7" t="s">
        <v>177</v>
      </c>
      <c r="AN19" s="7" t="s">
        <v>177</v>
      </c>
      <c r="AO19" s="7" t="s">
        <v>177</v>
      </c>
      <c r="AP19" s="7" t="s">
        <v>177</v>
      </c>
      <c r="AQ19" s="7" t="s">
        <v>165</v>
      </c>
      <c r="AR19" s="7" t="s">
        <v>177</v>
      </c>
      <c r="AS19" s="7" t="s">
        <v>177</v>
      </c>
      <c r="AT19" s="7" t="s">
        <v>177</v>
      </c>
      <c r="AU19" s="7" t="s">
        <v>177</v>
      </c>
      <c r="AV19" s="7" t="s">
        <v>177</v>
      </c>
      <c r="AW19" s="7" t="s">
        <v>166</v>
      </c>
      <c r="AX19" s="7"/>
      <c r="AY19" s="7"/>
      <c r="AZ19" s="7"/>
      <c r="BA19" s="7"/>
      <c r="BB19" s="7"/>
      <c r="BC19" s="7" t="s">
        <v>14</v>
      </c>
      <c r="BD19" s="7" t="s">
        <v>177</v>
      </c>
      <c r="BE19" s="7" t="s">
        <v>167</v>
      </c>
      <c r="BF19" s="7"/>
      <c r="BG19" s="7" t="s">
        <v>29</v>
      </c>
      <c r="BH19" s="7"/>
      <c r="BI19" s="7"/>
      <c r="BJ19" s="7" t="s">
        <v>14</v>
      </c>
      <c r="BK19" s="7"/>
      <c r="BL19" s="7"/>
      <c r="BM19" s="7" t="s">
        <v>168</v>
      </c>
      <c r="BN19" s="7"/>
      <c r="BO19" s="7" t="s">
        <v>49</v>
      </c>
      <c r="BP19" s="7" t="s">
        <v>14</v>
      </c>
      <c r="BQ19" s="7"/>
      <c r="BR19" s="7"/>
      <c r="BS19" s="7"/>
      <c r="BT19" s="7"/>
      <c r="BU19" s="7"/>
      <c r="BV19" s="7" t="s">
        <v>169</v>
      </c>
      <c r="BW19" s="7"/>
      <c r="BX19" s="7" t="s">
        <v>103</v>
      </c>
      <c r="BY19" s="7" t="s">
        <v>103</v>
      </c>
      <c r="BZ19" s="7"/>
      <c r="CA19" s="7"/>
      <c r="CB19" s="7"/>
      <c r="CC19" s="7"/>
      <c r="CD19" s="7" t="s">
        <v>170</v>
      </c>
      <c r="CE19" s="7"/>
      <c r="CF19" s="7" t="s">
        <v>29</v>
      </c>
      <c r="CG19" s="7" t="s">
        <v>38</v>
      </c>
      <c r="CH19" s="7"/>
      <c r="CI19" s="7"/>
      <c r="CJ19" s="7"/>
    </row>
    <row r="20" spans="1:88" x14ac:dyDescent="0.55000000000000004">
      <c r="A20" s="7" t="s">
        <v>43</v>
      </c>
      <c r="B20" s="7" t="s">
        <v>141</v>
      </c>
      <c r="C20" s="8">
        <v>44931</v>
      </c>
      <c r="D20" s="7"/>
      <c r="E20" s="7" t="s">
        <v>41</v>
      </c>
      <c r="F20" s="8">
        <v>38726</v>
      </c>
      <c r="G20" s="7" t="str">
        <f t="shared" si="2"/>
        <v>20060109</v>
      </c>
      <c r="H20" s="7" t="s">
        <v>44</v>
      </c>
      <c r="I20" s="7">
        <f t="shared" si="3"/>
        <v>11</v>
      </c>
      <c r="J20" s="7">
        <v>155</v>
      </c>
      <c r="K20" s="7" t="s">
        <v>161</v>
      </c>
      <c r="L20" s="7" t="s">
        <v>177</v>
      </c>
      <c r="M20" s="7" t="s">
        <v>177</v>
      </c>
      <c r="N20" s="7" t="s">
        <v>177</v>
      </c>
      <c r="O20" s="7" t="s">
        <v>177</v>
      </c>
      <c r="P20" s="7" t="s">
        <v>177</v>
      </c>
      <c r="Q20" s="7" t="s">
        <v>177</v>
      </c>
      <c r="R20" s="7" t="s">
        <v>177</v>
      </c>
      <c r="S20" s="7" t="s">
        <v>162</v>
      </c>
      <c r="T20" s="7" t="s">
        <v>177</v>
      </c>
      <c r="U20" s="7" t="s">
        <v>177</v>
      </c>
      <c r="V20" s="7" t="s">
        <v>177</v>
      </c>
      <c r="W20" s="7" t="s">
        <v>177</v>
      </c>
      <c r="X20" s="7" t="s">
        <v>177</v>
      </c>
      <c r="Y20" s="7" t="s">
        <v>177</v>
      </c>
      <c r="Z20" s="7" t="s">
        <v>177</v>
      </c>
      <c r="AA20" s="7" t="s">
        <v>163</v>
      </c>
      <c r="AB20" s="7" t="s">
        <v>177</v>
      </c>
      <c r="AC20" s="7" t="s">
        <v>177</v>
      </c>
      <c r="AD20" s="7" t="s">
        <v>177</v>
      </c>
      <c r="AE20" s="7" t="s">
        <v>177</v>
      </c>
      <c r="AF20" s="7" t="s">
        <v>177</v>
      </c>
      <c r="AG20" s="7" t="s">
        <v>177</v>
      </c>
      <c r="AH20" s="7" t="s">
        <v>177</v>
      </c>
      <c r="AI20" s="7" t="s">
        <v>164</v>
      </c>
      <c r="AJ20" s="7" t="s">
        <v>177</v>
      </c>
      <c r="AK20" s="7" t="s">
        <v>177</v>
      </c>
      <c r="AL20" s="7" t="s">
        <v>177</v>
      </c>
      <c r="AM20" s="7" t="s">
        <v>177</v>
      </c>
      <c r="AN20" s="7" t="s">
        <v>177</v>
      </c>
      <c r="AO20" s="7" t="s">
        <v>177</v>
      </c>
      <c r="AP20" s="7" t="s">
        <v>177</v>
      </c>
      <c r="AQ20" s="7" t="s">
        <v>165</v>
      </c>
      <c r="AR20" s="7" t="s">
        <v>177</v>
      </c>
      <c r="AS20" s="7" t="s">
        <v>177</v>
      </c>
      <c r="AT20" s="7" t="s">
        <v>177</v>
      </c>
      <c r="AU20" s="7" t="s">
        <v>177</v>
      </c>
      <c r="AV20" s="7" t="s">
        <v>177</v>
      </c>
      <c r="AW20" s="7" t="s">
        <v>166</v>
      </c>
      <c r="AX20" s="7"/>
      <c r="AY20" s="7"/>
      <c r="AZ20" s="7"/>
      <c r="BA20" s="7"/>
      <c r="BB20" s="7"/>
      <c r="BC20" s="7" t="s">
        <v>14</v>
      </c>
      <c r="BD20" s="7" t="s">
        <v>177</v>
      </c>
      <c r="BE20" s="7" t="s">
        <v>167</v>
      </c>
      <c r="BF20" s="7"/>
      <c r="BG20" s="7" t="s">
        <v>14</v>
      </c>
      <c r="BH20" s="7"/>
      <c r="BI20" s="7"/>
      <c r="BJ20" s="7" t="s">
        <v>14</v>
      </c>
      <c r="BK20" s="7"/>
      <c r="BL20" s="7"/>
      <c r="BM20" s="7" t="s">
        <v>168</v>
      </c>
      <c r="BN20" s="7"/>
      <c r="BO20" s="7" t="s">
        <v>14</v>
      </c>
      <c r="BP20" s="7" t="s">
        <v>29</v>
      </c>
      <c r="BQ20" s="7"/>
      <c r="BR20" s="7"/>
      <c r="BS20" s="7"/>
      <c r="BT20" s="7"/>
      <c r="BU20" s="7"/>
      <c r="BV20" s="7" t="s">
        <v>169</v>
      </c>
      <c r="BW20" s="7"/>
      <c r="BX20" s="7" t="s">
        <v>103</v>
      </c>
      <c r="BY20" s="7" t="s">
        <v>103</v>
      </c>
      <c r="BZ20" s="7"/>
      <c r="CA20" s="7"/>
      <c r="CB20" s="7"/>
      <c r="CC20" s="7"/>
      <c r="CD20" s="7" t="s">
        <v>170</v>
      </c>
      <c r="CE20" s="7"/>
      <c r="CF20" s="7" t="s">
        <v>14</v>
      </c>
      <c r="CG20" s="7" t="s">
        <v>14</v>
      </c>
      <c r="CH20" s="7"/>
      <c r="CI20" s="7"/>
      <c r="CJ20" s="7"/>
    </row>
    <row r="21" spans="1:88" x14ac:dyDescent="0.55000000000000004">
      <c r="A21" s="7" t="s">
        <v>105</v>
      </c>
      <c r="B21" s="7" t="s">
        <v>142</v>
      </c>
      <c r="C21" s="8">
        <v>44931</v>
      </c>
      <c r="D21" s="7"/>
      <c r="E21" s="7" t="s">
        <v>41</v>
      </c>
      <c r="F21" s="8">
        <v>38193</v>
      </c>
      <c r="G21" s="7" t="str">
        <f t="shared" si="2"/>
        <v>20040725</v>
      </c>
      <c r="H21" s="7" t="s">
        <v>16</v>
      </c>
      <c r="I21" s="7">
        <f t="shared" si="3"/>
        <v>13</v>
      </c>
      <c r="J21" s="7">
        <v>163</v>
      </c>
      <c r="K21" s="7" t="s">
        <v>161</v>
      </c>
      <c r="L21" s="7" t="s">
        <v>177</v>
      </c>
      <c r="M21" s="7" t="s">
        <v>177</v>
      </c>
      <c r="N21" s="7" t="s">
        <v>177</v>
      </c>
      <c r="O21" s="7" t="s">
        <v>177</v>
      </c>
      <c r="P21" s="7" t="s">
        <v>177</v>
      </c>
      <c r="Q21" s="7" t="s">
        <v>177</v>
      </c>
      <c r="R21" s="7" t="s">
        <v>177</v>
      </c>
      <c r="S21" s="7" t="s">
        <v>162</v>
      </c>
      <c r="T21" s="7" t="s">
        <v>177</v>
      </c>
      <c r="U21" s="7" t="s">
        <v>177</v>
      </c>
      <c r="V21" s="7" t="s">
        <v>177</v>
      </c>
      <c r="W21" s="7" t="s">
        <v>177</v>
      </c>
      <c r="X21" s="7" t="s">
        <v>177</v>
      </c>
      <c r="Y21" s="7" t="s">
        <v>177</v>
      </c>
      <c r="Z21" s="7" t="s">
        <v>177</v>
      </c>
      <c r="AA21" s="7" t="s">
        <v>163</v>
      </c>
      <c r="AB21" s="7" t="s">
        <v>177</v>
      </c>
      <c r="AC21" s="7" t="s">
        <v>177</v>
      </c>
      <c r="AD21" s="7" t="s">
        <v>177</v>
      </c>
      <c r="AE21" s="7" t="s">
        <v>177</v>
      </c>
      <c r="AF21" s="7" t="s">
        <v>177</v>
      </c>
      <c r="AG21" s="7" t="s">
        <v>177</v>
      </c>
      <c r="AH21" s="7" t="s">
        <v>177</v>
      </c>
      <c r="AI21" s="7" t="s">
        <v>164</v>
      </c>
      <c r="AJ21" s="7" t="s">
        <v>177</v>
      </c>
      <c r="AK21" s="7" t="s">
        <v>177</v>
      </c>
      <c r="AL21" s="7" t="s">
        <v>177</v>
      </c>
      <c r="AM21" s="7" t="s">
        <v>177</v>
      </c>
      <c r="AN21" s="7" t="s">
        <v>177</v>
      </c>
      <c r="AO21" s="7" t="s">
        <v>177</v>
      </c>
      <c r="AP21" s="7" t="s">
        <v>177</v>
      </c>
      <c r="AQ21" s="7" t="s">
        <v>165</v>
      </c>
      <c r="AR21" s="7" t="s">
        <v>177</v>
      </c>
      <c r="AS21" s="7" t="s">
        <v>177</v>
      </c>
      <c r="AT21" s="7" t="s">
        <v>177</v>
      </c>
      <c r="AU21" s="7" t="s">
        <v>177</v>
      </c>
      <c r="AV21" s="7" t="s">
        <v>177</v>
      </c>
      <c r="AW21" s="7" t="s">
        <v>166</v>
      </c>
      <c r="AX21" s="7"/>
      <c r="AY21" s="7"/>
      <c r="AZ21" s="7"/>
      <c r="BA21" s="7"/>
      <c r="BB21" s="7"/>
      <c r="BC21" s="7" t="s">
        <v>14</v>
      </c>
      <c r="BD21" s="7" t="s">
        <v>177</v>
      </c>
      <c r="BE21" s="7" t="s">
        <v>167</v>
      </c>
      <c r="BF21" s="7"/>
      <c r="BG21" s="7" t="s">
        <v>29</v>
      </c>
      <c r="BH21" s="7"/>
      <c r="BI21" s="7"/>
      <c r="BJ21" s="7" t="s">
        <v>14</v>
      </c>
      <c r="BK21" s="7"/>
      <c r="BL21" s="7"/>
      <c r="BM21" s="7" t="s">
        <v>168</v>
      </c>
      <c r="BN21" s="7"/>
      <c r="BO21" s="7" t="s">
        <v>14</v>
      </c>
      <c r="BP21" s="7" t="s">
        <v>14</v>
      </c>
      <c r="BQ21" s="7"/>
      <c r="BR21" s="7"/>
      <c r="BS21" s="7"/>
      <c r="BT21" s="7"/>
      <c r="BU21" s="7"/>
      <c r="BV21" s="7" t="s">
        <v>169</v>
      </c>
      <c r="BW21" s="7"/>
      <c r="BX21" s="7" t="s">
        <v>103</v>
      </c>
      <c r="BY21" s="7" t="s">
        <v>103</v>
      </c>
      <c r="BZ21" s="7"/>
      <c r="CA21" s="7"/>
      <c r="CB21" s="7"/>
      <c r="CC21" s="7"/>
      <c r="CD21" s="7" t="s">
        <v>170</v>
      </c>
      <c r="CE21" s="7"/>
      <c r="CF21" s="7" t="s">
        <v>14</v>
      </c>
      <c r="CG21" s="7" t="s">
        <v>29</v>
      </c>
      <c r="CH21" s="7"/>
      <c r="CI21" s="7"/>
      <c r="CJ21" s="7"/>
    </row>
    <row r="22" spans="1:88" x14ac:dyDescent="0.55000000000000004">
      <c r="A22" s="7" t="s">
        <v>106</v>
      </c>
      <c r="B22" s="7" t="s">
        <v>143</v>
      </c>
      <c r="C22" s="8">
        <v>44931</v>
      </c>
      <c r="D22" s="7"/>
      <c r="E22" s="7" t="s">
        <v>41</v>
      </c>
      <c r="F22" s="8">
        <v>38540</v>
      </c>
      <c r="G22" s="7" t="str">
        <f t="shared" si="2"/>
        <v>20050707</v>
      </c>
      <c r="H22" s="7" t="s">
        <v>45</v>
      </c>
      <c r="I22" s="7">
        <f t="shared" si="3"/>
        <v>20</v>
      </c>
      <c r="J22" s="7">
        <v>165</v>
      </c>
      <c r="K22" s="7" t="s">
        <v>161</v>
      </c>
      <c r="L22" s="7" t="s">
        <v>177</v>
      </c>
      <c r="M22" s="7" t="s">
        <v>177</v>
      </c>
      <c r="N22" s="7" t="s">
        <v>177</v>
      </c>
      <c r="O22" s="7" t="s">
        <v>177</v>
      </c>
      <c r="P22" s="7" t="s">
        <v>177</v>
      </c>
      <c r="Q22" s="7" t="s">
        <v>177</v>
      </c>
      <c r="R22" s="7" t="s">
        <v>177</v>
      </c>
      <c r="S22" s="7" t="s">
        <v>162</v>
      </c>
      <c r="T22" s="7" t="s">
        <v>177</v>
      </c>
      <c r="U22" s="7" t="s">
        <v>177</v>
      </c>
      <c r="V22" s="7" t="s">
        <v>177</v>
      </c>
      <c r="W22" s="7" t="s">
        <v>177</v>
      </c>
      <c r="X22" s="7" t="s">
        <v>177</v>
      </c>
      <c r="Y22" s="7" t="s">
        <v>177</v>
      </c>
      <c r="Z22" s="7" t="s">
        <v>177</v>
      </c>
      <c r="AA22" s="7" t="s">
        <v>163</v>
      </c>
      <c r="AB22" s="7" t="s">
        <v>177</v>
      </c>
      <c r="AC22" s="7" t="s">
        <v>177</v>
      </c>
      <c r="AD22" s="7" t="s">
        <v>177</v>
      </c>
      <c r="AE22" s="7" t="s">
        <v>177</v>
      </c>
      <c r="AF22" s="7" t="s">
        <v>177</v>
      </c>
      <c r="AG22" s="7" t="s">
        <v>177</v>
      </c>
      <c r="AH22" s="7" t="s">
        <v>177</v>
      </c>
      <c r="AI22" s="7" t="s">
        <v>164</v>
      </c>
      <c r="AJ22" s="7" t="s">
        <v>177</v>
      </c>
      <c r="AK22" s="7" t="s">
        <v>177</v>
      </c>
      <c r="AL22" s="7" t="s">
        <v>177</v>
      </c>
      <c r="AM22" s="7" t="s">
        <v>177</v>
      </c>
      <c r="AN22" s="7" t="s">
        <v>177</v>
      </c>
      <c r="AO22" s="7" t="s">
        <v>177</v>
      </c>
      <c r="AP22" s="7" t="s">
        <v>177</v>
      </c>
      <c r="AQ22" s="7" t="s">
        <v>165</v>
      </c>
      <c r="AR22" s="7" t="s">
        <v>177</v>
      </c>
      <c r="AS22" s="7" t="s">
        <v>177</v>
      </c>
      <c r="AT22" s="7" t="s">
        <v>177</v>
      </c>
      <c r="AU22" s="7" t="s">
        <v>177</v>
      </c>
      <c r="AV22" s="7" t="s">
        <v>177</v>
      </c>
      <c r="AW22" s="7" t="s">
        <v>166</v>
      </c>
      <c r="AX22" s="7"/>
      <c r="AY22" s="7"/>
      <c r="AZ22" s="7"/>
      <c r="BA22" s="7"/>
      <c r="BB22" s="7"/>
      <c r="BC22" s="7" t="s">
        <v>14</v>
      </c>
      <c r="BD22" s="7" t="s">
        <v>177</v>
      </c>
      <c r="BE22" s="7" t="s">
        <v>167</v>
      </c>
      <c r="BF22" s="7"/>
      <c r="BG22" s="7" t="s">
        <v>49</v>
      </c>
      <c r="BH22" s="7"/>
      <c r="BI22" s="7"/>
      <c r="BJ22" s="7" t="s">
        <v>29</v>
      </c>
      <c r="BK22" s="7"/>
      <c r="BL22" s="7"/>
      <c r="BM22" s="7" t="s">
        <v>168</v>
      </c>
      <c r="BN22" s="7"/>
      <c r="BO22" s="7" t="s">
        <v>38</v>
      </c>
      <c r="BP22" s="7" t="s">
        <v>29</v>
      </c>
      <c r="BQ22" s="7"/>
      <c r="BR22" s="7"/>
      <c r="BS22" s="7"/>
      <c r="BT22" s="7"/>
      <c r="BU22" s="7"/>
      <c r="BV22" s="7" t="s">
        <v>169</v>
      </c>
      <c r="BW22" s="7"/>
      <c r="BX22" s="7" t="s">
        <v>103</v>
      </c>
      <c r="BY22" s="7" t="s">
        <v>103</v>
      </c>
      <c r="BZ22" s="7" t="s">
        <v>103</v>
      </c>
      <c r="CA22" s="7"/>
      <c r="CB22" s="7"/>
      <c r="CC22" s="7"/>
      <c r="CD22" s="7" t="s">
        <v>170</v>
      </c>
      <c r="CE22" s="7"/>
      <c r="CF22" s="7" t="s">
        <v>14</v>
      </c>
      <c r="CG22" s="7" t="s">
        <v>14</v>
      </c>
      <c r="CH22" s="7"/>
      <c r="CI22" s="7"/>
      <c r="CJ22" s="7"/>
    </row>
    <row r="23" spans="1:88" x14ac:dyDescent="0.55000000000000004">
      <c r="A23" s="7" t="s">
        <v>107</v>
      </c>
      <c r="B23" s="7" t="s">
        <v>144</v>
      </c>
      <c r="C23" s="8">
        <v>44931</v>
      </c>
      <c r="D23" s="7"/>
      <c r="E23" s="7" t="s">
        <v>41</v>
      </c>
      <c r="F23" s="8">
        <v>38454</v>
      </c>
      <c r="G23" s="7" t="str">
        <f t="shared" si="2"/>
        <v>20050412</v>
      </c>
      <c r="H23" s="7" t="s">
        <v>46</v>
      </c>
      <c r="I23" s="7">
        <f t="shared" si="3"/>
        <v>35</v>
      </c>
      <c r="J23" s="7">
        <v>151</v>
      </c>
      <c r="K23" s="7" t="s">
        <v>161</v>
      </c>
      <c r="L23" s="7" t="s">
        <v>177</v>
      </c>
      <c r="M23" s="7" t="s">
        <v>177</v>
      </c>
      <c r="N23" s="7" t="s">
        <v>177</v>
      </c>
      <c r="O23" s="7" t="s">
        <v>177</v>
      </c>
      <c r="P23" s="7" t="s">
        <v>177</v>
      </c>
      <c r="Q23" s="7" t="s">
        <v>177</v>
      </c>
      <c r="R23" s="7" t="s">
        <v>177</v>
      </c>
      <c r="S23" s="7" t="s">
        <v>162</v>
      </c>
      <c r="T23" s="7" t="s">
        <v>177</v>
      </c>
      <c r="U23" s="7" t="s">
        <v>177</v>
      </c>
      <c r="V23" s="7" t="s">
        <v>177</v>
      </c>
      <c r="W23" s="7" t="s">
        <v>177</v>
      </c>
      <c r="X23" s="7" t="s">
        <v>177</v>
      </c>
      <c r="Y23" s="7" t="s">
        <v>177</v>
      </c>
      <c r="Z23" s="7" t="s">
        <v>177</v>
      </c>
      <c r="AA23" s="7" t="s">
        <v>163</v>
      </c>
      <c r="AB23" s="7" t="s">
        <v>177</v>
      </c>
      <c r="AC23" s="7" t="s">
        <v>177</v>
      </c>
      <c r="AD23" s="7" t="s">
        <v>177</v>
      </c>
      <c r="AE23" s="7" t="s">
        <v>177</v>
      </c>
      <c r="AF23" s="7" t="s">
        <v>177</v>
      </c>
      <c r="AG23" s="7" t="s">
        <v>177</v>
      </c>
      <c r="AH23" s="7" t="s">
        <v>177</v>
      </c>
      <c r="AI23" s="7" t="s">
        <v>164</v>
      </c>
      <c r="AJ23" s="7" t="s">
        <v>177</v>
      </c>
      <c r="AK23" s="7" t="s">
        <v>177</v>
      </c>
      <c r="AL23" s="7" t="s">
        <v>177</v>
      </c>
      <c r="AM23" s="7" t="s">
        <v>177</v>
      </c>
      <c r="AN23" s="7" t="s">
        <v>177</v>
      </c>
      <c r="AO23" s="7" t="s">
        <v>177</v>
      </c>
      <c r="AP23" s="7" t="s">
        <v>177</v>
      </c>
      <c r="AQ23" s="7" t="s">
        <v>165</v>
      </c>
      <c r="AR23" s="7" t="s">
        <v>177</v>
      </c>
      <c r="AS23" s="7" t="s">
        <v>177</v>
      </c>
      <c r="AT23" s="7" t="s">
        <v>177</v>
      </c>
      <c r="AU23" s="7" t="s">
        <v>177</v>
      </c>
      <c r="AV23" s="7" t="s">
        <v>177</v>
      </c>
      <c r="AW23" s="7" t="s">
        <v>166</v>
      </c>
      <c r="AX23" s="7"/>
      <c r="AY23" s="7"/>
      <c r="AZ23" s="7"/>
      <c r="BA23" s="7"/>
      <c r="BB23" s="7"/>
      <c r="BC23" s="7" t="s">
        <v>38</v>
      </c>
      <c r="BD23" s="7" t="s">
        <v>177</v>
      </c>
      <c r="BE23" s="7" t="s">
        <v>167</v>
      </c>
      <c r="BF23" s="7"/>
      <c r="BG23" s="7" t="s">
        <v>14</v>
      </c>
      <c r="BH23" s="7"/>
      <c r="BI23" s="7"/>
      <c r="BJ23" s="7" t="s">
        <v>29</v>
      </c>
      <c r="BK23" s="7"/>
      <c r="BL23" s="7"/>
      <c r="BM23" s="7" t="s">
        <v>168</v>
      </c>
      <c r="BN23" s="7" t="s">
        <v>49</v>
      </c>
      <c r="BO23" s="7" t="s">
        <v>29</v>
      </c>
      <c r="BP23" s="7"/>
      <c r="BQ23" s="7"/>
      <c r="BR23" s="7" t="s">
        <v>103</v>
      </c>
      <c r="BS23" s="7" t="s">
        <v>103</v>
      </c>
      <c r="BT23" s="7"/>
      <c r="BU23" s="7"/>
      <c r="BV23" s="7" t="s">
        <v>169</v>
      </c>
      <c r="BW23" s="7" t="s">
        <v>14</v>
      </c>
      <c r="BX23" s="7"/>
      <c r="BY23" s="7" t="s">
        <v>103</v>
      </c>
      <c r="BZ23" s="7"/>
      <c r="CA23" s="7" t="s">
        <v>103</v>
      </c>
      <c r="CB23" s="7"/>
      <c r="CC23" s="7" t="s">
        <v>103</v>
      </c>
      <c r="CD23" s="7" t="s">
        <v>170</v>
      </c>
      <c r="CE23" s="7" t="s">
        <v>29</v>
      </c>
      <c r="CF23" s="7" t="s">
        <v>14</v>
      </c>
      <c r="CG23" s="7"/>
      <c r="CH23" s="7"/>
      <c r="CI23" s="7"/>
      <c r="CJ23" s="7"/>
    </row>
    <row r="24" spans="1:88" x14ac:dyDescent="0.55000000000000004">
      <c r="A24" s="7" t="s">
        <v>108</v>
      </c>
      <c r="B24" s="7" t="s">
        <v>145</v>
      </c>
      <c r="C24" s="8">
        <v>44931</v>
      </c>
      <c r="D24" s="7"/>
      <c r="E24" s="7" t="s">
        <v>41</v>
      </c>
      <c r="F24" s="8">
        <v>37669</v>
      </c>
      <c r="G24" s="7" t="str">
        <f t="shared" si="2"/>
        <v>20030217</v>
      </c>
      <c r="H24" s="7" t="s">
        <v>37</v>
      </c>
      <c r="I24" s="7">
        <f t="shared" si="3"/>
        <v>40</v>
      </c>
      <c r="J24" s="7">
        <v>162</v>
      </c>
      <c r="K24" s="7" t="s">
        <v>161</v>
      </c>
      <c r="L24" s="7" t="s">
        <v>177</v>
      </c>
      <c r="M24" s="7" t="s">
        <v>177</v>
      </c>
      <c r="N24" s="7" t="s">
        <v>177</v>
      </c>
      <c r="O24" s="7" t="s">
        <v>177</v>
      </c>
      <c r="P24" s="7" t="s">
        <v>177</v>
      </c>
      <c r="Q24" s="7" t="s">
        <v>177</v>
      </c>
      <c r="R24" s="7" t="s">
        <v>177</v>
      </c>
      <c r="S24" s="7" t="s">
        <v>162</v>
      </c>
      <c r="T24" s="7" t="s">
        <v>177</v>
      </c>
      <c r="U24" s="7" t="s">
        <v>177</v>
      </c>
      <c r="V24" s="7" t="s">
        <v>177</v>
      </c>
      <c r="W24" s="7" t="s">
        <v>177</v>
      </c>
      <c r="X24" s="7" t="s">
        <v>177</v>
      </c>
      <c r="Y24" s="7" t="s">
        <v>177</v>
      </c>
      <c r="Z24" s="7" t="s">
        <v>177</v>
      </c>
      <c r="AA24" s="7" t="s">
        <v>163</v>
      </c>
      <c r="AB24" s="7" t="s">
        <v>177</v>
      </c>
      <c r="AC24" s="7" t="s">
        <v>177</v>
      </c>
      <c r="AD24" s="7" t="s">
        <v>177</v>
      </c>
      <c r="AE24" s="7" t="s">
        <v>177</v>
      </c>
      <c r="AF24" s="7" t="s">
        <v>177</v>
      </c>
      <c r="AG24" s="7" t="s">
        <v>177</v>
      </c>
      <c r="AH24" s="7" t="s">
        <v>177</v>
      </c>
      <c r="AI24" s="7" t="s">
        <v>164</v>
      </c>
      <c r="AJ24" s="7" t="s">
        <v>177</v>
      </c>
      <c r="AK24" s="7" t="s">
        <v>177</v>
      </c>
      <c r="AL24" s="7" t="s">
        <v>177</v>
      </c>
      <c r="AM24" s="7" t="s">
        <v>177</v>
      </c>
      <c r="AN24" s="7" t="s">
        <v>177</v>
      </c>
      <c r="AO24" s="7" t="s">
        <v>177</v>
      </c>
      <c r="AP24" s="7" t="s">
        <v>177</v>
      </c>
      <c r="AQ24" s="7" t="s">
        <v>165</v>
      </c>
      <c r="AR24" s="7" t="s">
        <v>177</v>
      </c>
      <c r="AS24" s="7" t="s">
        <v>177</v>
      </c>
      <c r="AT24" s="7" t="s">
        <v>177</v>
      </c>
      <c r="AU24" s="7" t="s">
        <v>177</v>
      </c>
      <c r="AV24" s="7" t="s">
        <v>177</v>
      </c>
      <c r="AW24" s="7" t="s">
        <v>166</v>
      </c>
      <c r="AX24" s="7"/>
      <c r="AY24" s="7"/>
      <c r="AZ24" s="7"/>
      <c r="BA24" s="7"/>
      <c r="BB24" s="7"/>
      <c r="BC24" s="7" t="s">
        <v>14</v>
      </c>
      <c r="BD24" s="7" t="s">
        <v>177</v>
      </c>
      <c r="BE24" s="7" t="s">
        <v>167</v>
      </c>
      <c r="BF24" s="7"/>
      <c r="BG24" s="7" t="s">
        <v>14</v>
      </c>
      <c r="BH24" s="7"/>
      <c r="BI24" s="7"/>
      <c r="BJ24" s="7" t="s">
        <v>38</v>
      </c>
      <c r="BK24" s="7"/>
      <c r="BL24" s="7"/>
      <c r="BM24" s="7" t="s">
        <v>168</v>
      </c>
      <c r="BN24" s="7" t="s">
        <v>29</v>
      </c>
      <c r="BO24" s="7" t="s">
        <v>29</v>
      </c>
      <c r="BP24" s="7"/>
      <c r="BQ24" s="7"/>
      <c r="BR24" s="7"/>
      <c r="BS24" s="7" t="s">
        <v>103</v>
      </c>
      <c r="BT24" s="7"/>
      <c r="BU24" s="7"/>
      <c r="BV24" s="7" t="s">
        <v>169</v>
      </c>
      <c r="BW24" s="7" t="s">
        <v>29</v>
      </c>
      <c r="BX24" s="7"/>
      <c r="BY24" s="7" t="s">
        <v>103</v>
      </c>
      <c r="BZ24" s="7"/>
      <c r="CA24" s="7"/>
      <c r="CB24" s="7" t="s">
        <v>103</v>
      </c>
      <c r="CC24" s="7" t="s">
        <v>103</v>
      </c>
      <c r="CD24" s="7" t="s">
        <v>170</v>
      </c>
      <c r="CE24" s="7" t="s">
        <v>29</v>
      </c>
      <c r="CF24" s="7" t="s">
        <v>29</v>
      </c>
      <c r="CG24" s="7"/>
      <c r="CH24" s="7"/>
      <c r="CI24" s="7"/>
      <c r="CJ24" s="7"/>
    </row>
    <row r="25" spans="1:88" x14ac:dyDescent="0.55000000000000004">
      <c r="A25" s="7" t="s">
        <v>109</v>
      </c>
      <c r="B25" s="7" t="s">
        <v>146</v>
      </c>
      <c r="C25" s="8">
        <v>44931</v>
      </c>
      <c r="D25" s="7"/>
      <c r="E25" s="7" t="s">
        <v>41</v>
      </c>
      <c r="F25" s="8">
        <v>39029</v>
      </c>
      <c r="G25" s="7" t="str">
        <f t="shared" si="2"/>
        <v>20061108</v>
      </c>
      <c r="H25" s="7" t="s">
        <v>37</v>
      </c>
      <c r="I25" s="7">
        <f t="shared" si="3"/>
        <v>40</v>
      </c>
      <c r="J25" s="7">
        <v>166</v>
      </c>
      <c r="K25" s="7" t="s">
        <v>161</v>
      </c>
      <c r="L25" s="7" t="s">
        <v>177</v>
      </c>
      <c r="M25" s="7" t="s">
        <v>177</v>
      </c>
      <c r="N25" s="7" t="s">
        <v>177</v>
      </c>
      <c r="O25" s="7" t="s">
        <v>177</v>
      </c>
      <c r="P25" s="7" t="s">
        <v>177</v>
      </c>
      <c r="Q25" s="7" t="s">
        <v>177</v>
      </c>
      <c r="R25" s="7" t="s">
        <v>177</v>
      </c>
      <c r="S25" s="7" t="s">
        <v>162</v>
      </c>
      <c r="T25" s="7" t="s">
        <v>177</v>
      </c>
      <c r="U25" s="7" t="s">
        <v>177</v>
      </c>
      <c r="V25" s="7" t="s">
        <v>177</v>
      </c>
      <c r="W25" s="7" t="s">
        <v>177</v>
      </c>
      <c r="X25" s="7" t="s">
        <v>177</v>
      </c>
      <c r="Y25" s="7" t="s">
        <v>177</v>
      </c>
      <c r="Z25" s="7" t="s">
        <v>177</v>
      </c>
      <c r="AA25" s="7" t="s">
        <v>163</v>
      </c>
      <c r="AB25" s="7" t="s">
        <v>177</v>
      </c>
      <c r="AC25" s="7" t="s">
        <v>177</v>
      </c>
      <c r="AD25" s="7" t="s">
        <v>177</v>
      </c>
      <c r="AE25" s="7" t="s">
        <v>177</v>
      </c>
      <c r="AF25" s="7" t="s">
        <v>177</v>
      </c>
      <c r="AG25" s="7" t="s">
        <v>177</v>
      </c>
      <c r="AH25" s="7" t="s">
        <v>177</v>
      </c>
      <c r="AI25" s="7" t="s">
        <v>164</v>
      </c>
      <c r="AJ25" s="7" t="s">
        <v>177</v>
      </c>
      <c r="AK25" s="7" t="s">
        <v>177</v>
      </c>
      <c r="AL25" s="7" t="s">
        <v>177</v>
      </c>
      <c r="AM25" s="7" t="s">
        <v>177</v>
      </c>
      <c r="AN25" s="7" t="s">
        <v>177</v>
      </c>
      <c r="AO25" s="7" t="s">
        <v>177</v>
      </c>
      <c r="AP25" s="7" t="s">
        <v>177</v>
      </c>
      <c r="AQ25" s="7" t="s">
        <v>165</v>
      </c>
      <c r="AR25" s="7" t="s">
        <v>177</v>
      </c>
      <c r="AS25" s="7" t="s">
        <v>177</v>
      </c>
      <c r="AT25" s="7" t="s">
        <v>177</v>
      </c>
      <c r="AU25" s="7" t="s">
        <v>177</v>
      </c>
      <c r="AV25" s="7" t="s">
        <v>177</v>
      </c>
      <c r="AW25" s="7" t="s">
        <v>166</v>
      </c>
      <c r="AX25" s="7"/>
      <c r="AY25" s="7"/>
      <c r="AZ25" s="7"/>
      <c r="BA25" s="7"/>
      <c r="BB25" s="7"/>
      <c r="BC25" s="7" t="s">
        <v>49</v>
      </c>
      <c r="BD25" s="7" t="s">
        <v>177</v>
      </c>
      <c r="BE25" s="7" t="s">
        <v>167</v>
      </c>
      <c r="BF25" s="7"/>
      <c r="BG25" s="7" t="s">
        <v>29</v>
      </c>
      <c r="BH25" s="7"/>
      <c r="BI25" s="7"/>
      <c r="BJ25" s="7" t="s">
        <v>49</v>
      </c>
      <c r="BK25" s="7"/>
      <c r="BL25" s="7"/>
      <c r="BM25" s="7" t="s">
        <v>168</v>
      </c>
      <c r="BN25" s="7"/>
      <c r="BO25" s="7" t="s">
        <v>14</v>
      </c>
      <c r="BP25" s="7" t="s">
        <v>49</v>
      </c>
      <c r="BQ25" s="7"/>
      <c r="BR25" s="7" t="s">
        <v>38</v>
      </c>
      <c r="BS25" s="7"/>
      <c r="BT25" s="7"/>
      <c r="BU25" s="7"/>
      <c r="BV25" s="7" t="s">
        <v>169</v>
      </c>
      <c r="BW25" s="7" t="s">
        <v>29</v>
      </c>
      <c r="BX25" s="7"/>
      <c r="BY25" s="7" t="s">
        <v>103</v>
      </c>
      <c r="BZ25" s="7"/>
      <c r="CA25" s="7"/>
      <c r="CB25" s="7"/>
      <c r="CC25" s="7" t="s">
        <v>103</v>
      </c>
      <c r="CD25" s="7" t="s">
        <v>170</v>
      </c>
      <c r="CE25" s="7" t="s">
        <v>14</v>
      </c>
      <c r="CF25" s="7" t="s">
        <v>29</v>
      </c>
      <c r="CG25" s="7"/>
      <c r="CH25" s="7"/>
      <c r="CI25" s="7"/>
      <c r="CJ25" s="7"/>
    </row>
    <row r="26" spans="1:88" x14ac:dyDescent="0.55000000000000004">
      <c r="A26" s="7" t="s">
        <v>110</v>
      </c>
      <c r="B26" s="7" t="s">
        <v>147</v>
      </c>
      <c r="C26" s="8">
        <v>44931</v>
      </c>
      <c r="D26" s="7"/>
      <c r="E26" s="7" t="s">
        <v>41</v>
      </c>
      <c r="F26" s="8">
        <v>38846</v>
      </c>
      <c r="G26" s="7" t="str">
        <f t="shared" si="2"/>
        <v>20060509</v>
      </c>
      <c r="H26" s="7" t="s">
        <v>47</v>
      </c>
      <c r="I26" s="7">
        <f t="shared" si="3"/>
        <v>34</v>
      </c>
      <c r="J26" s="7">
        <v>163</v>
      </c>
      <c r="K26" s="7" t="s">
        <v>161</v>
      </c>
      <c r="L26" s="7" t="s">
        <v>177</v>
      </c>
      <c r="M26" s="7" t="s">
        <v>177</v>
      </c>
      <c r="N26" s="7" t="s">
        <v>177</v>
      </c>
      <c r="O26" s="7" t="s">
        <v>177</v>
      </c>
      <c r="P26" s="7" t="s">
        <v>177</v>
      </c>
      <c r="Q26" s="7" t="s">
        <v>177</v>
      </c>
      <c r="R26" s="7" t="s">
        <v>177</v>
      </c>
      <c r="S26" s="7" t="s">
        <v>162</v>
      </c>
      <c r="T26" s="7" t="s">
        <v>177</v>
      </c>
      <c r="U26" s="7" t="s">
        <v>177</v>
      </c>
      <c r="V26" s="7" t="s">
        <v>177</v>
      </c>
      <c r="W26" s="7" t="s">
        <v>177</v>
      </c>
      <c r="X26" s="7" t="s">
        <v>177</v>
      </c>
      <c r="Y26" s="7" t="s">
        <v>177</v>
      </c>
      <c r="Z26" s="7" t="s">
        <v>177</v>
      </c>
      <c r="AA26" s="7" t="s">
        <v>163</v>
      </c>
      <c r="AB26" s="7" t="s">
        <v>177</v>
      </c>
      <c r="AC26" s="7" t="s">
        <v>177</v>
      </c>
      <c r="AD26" s="7" t="s">
        <v>177</v>
      </c>
      <c r="AE26" s="7" t="s">
        <v>177</v>
      </c>
      <c r="AF26" s="7" t="s">
        <v>177</v>
      </c>
      <c r="AG26" s="7" t="s">
        <v>177</v>
      </c>
      <c r="AH26" s="7" t="s">
        <v>177</v>
      </c>
      <c r="AI26" s="7" t="s">
        <v>164</v>
      </c>
      <c r="AJ26" s="7" t="s">
        <v>177</v>
      </c>
      <c r="AK26" s="7" t="s">
        <v>177</v>
      </c>
      <c r="AL26" s="7" t="s">
        <v>177</v>
      </c>
      <c r="AM26" s="7" t="s">
        <v>177</v>
      </c>
      <c r="AN26" s="7" t="s">
        <v>177</v>
      </c>
      <c r="AO26" s="7" t="s">
        <v>177</v>
      </c>
      <c r="AP26" s="7" t="s">
        <v>177</v>
      </c>
      <c r="AQ26" s="7" t="s">
        <v>165</v>
      </c>
      <c r="AR26" s="7" t="s">
        <v>177</v>
      </c>
      <c r="AS26" s="7" t="s">
        <v>177</v>
      </c>
      <c r="AT26" s="7" t="s">
        <v>177</v>
      </c>
      <c r="AU26" s="7" t="s">
        <v>177</v>
      </c>
      <c r="AV26" s="7" t="s">
        <v>177</v>
      </c>
      <c r="AW26" s="7" t="s">
        <v>166</v>
      </c>
      <c r="AX26" s="7"/>
      <c r="AY26" s="7"/>
      <c r="AZ26" s="7"/>
      <c r="BA26" s="7"/>
      <c r="BB26" s="7"/>
      <c r="BC26" s="7" t="s">
        <v>14</v>
      </c>
      <c r="BD26" s="7" t="s">
        <v>177</v>
      </c>
      <c r="BE26" s="7" t="s">
        <v>167</v>
      </c>
      <c r="BF26" s="7"/>
      <c r="BG26" s="7" t="s">
        <v>29</v>
      </c>
      <c r="BH26" s="7"/>
      <c r="BI26" s="7"/>
      <c r="BJ26" s="7" t="s">
        <v>49</v>
      </c>
      <c r="BK26" s="7"/>
      <c r="BL26" s="7"/>
      <c r="BM26" s="7" t="s">
        <v>168</v>
      </c>
      <c r="BN26" s="7"/>
      <c r="BO26" s="7" t="s">
        <v>49</v>
      </c>
      <c r="BP26" s="7" t="s">
        <v>29</v>
      </c>
      <c r="BQ26" s="7"/>
      <c r="BR26" s="7"/>
      <c r="BS26" s="7"/>
      <c r="BT26" s="7"/>
      <c r="BU26" s="7"/>
      <c r="BV26" s="7" t="s">
        <v>169</v>
      </c>
      <c r="BW26" s="7"/>
      <c r="BX26" s="7" t="s">
        <v>103</v>
      </c>
      <c r="BY26" s="7" t="s">
        <v>103</v>
      </c>
      <c r="BZ26" s="7" t="s">
        <v>103</v>
      </c>
      <c r="CA26" s="7"/>
      <c r="CB26" s="7"/>
      <c r="CC26" s="7"/>
      <c r="CD26" s="7" t="s">
        <v>170</v>
      </c>
      <c r="CE26" s="7"/>
      <c r="CF26" s="7" t="s">
        <v>38</v>
      </c>
      <c r="CG26" s="7" t="s">
        <v>14</v>
      </c>
      <c r="CH26" s="7"/>
      <c r="CI26" s="7"/>
      <c r="CJ26" s="7"/>
    </row>
    <row r="27" spans="1:88" x14ac:dyDescent="0.55000000000000004">
      <c r="A27" s="7" t="s">
        <v>111</v>
      </c>
      <c r="B27" s="7" t="s">
        <v>148</v>
      </c>
      <c r="C27" s="8">
        <v>44931</v>
      </c>
      <c r="D27" s="7"/>
      <c r="E27" s="7" t="s">
        <v>41</v>
      </c>
      <c r="F27" s="8">
        <v>38217</v>
      </c>
      <c r="G27" s="7" t="str">
        <f t="shared" si="2"/>
        <v>20040818</v>
      </c>
      <c r="H27" s="7" t="s">
        <v>16</v>
      </c>
      <c r="I27" s="7">
        <f t="shared" si="3"/>
        <v>13</v>
      </c>
      <c r="J27" s="7">
        <v>156</v>
      </c>
      <c r="K27" s="7" t="s">
        <v>161</v>
      </c>
      <c r="L27" s="7" t="s">
        <v>177</v>
      </c>
      <c r="M27" s="7" t="s">
        <v>177</v>
      </c>
      <c r="N27" s="7" t="s">
        <v>177</v>
      </c>
      <c r="O27" s="7" t="s">
        <v>177</v>
      </c>
      <c r="P27" s="7" t="s">
        <v>177</v>
      </c>
      <c r="Q27" s="7" t="s">
        <v>177</v>
      </c>
      <c r="R27" s="7" t="s">
        <v>177</v>
      </c>
      <c r="S27" s="7" t="s">
        <v>162</v>
      </c>
      <c r="T27" s="7" t="s">
        <v>177</v>
      </c>
      <c r="U27" s="7" t="s">
        <v>177</v>
      </c>
      <c r="V27" s="7" t="s">
        <v>177</v>
      </c>
      <c r="W27" s="7" t="s">
        <v>177</v>
      </c>
      <c r="X27" s="7" t="s">
        <v>177</v>
      </c>
      <c r="Y27" s="7" t="s">
        <v>177</v>
      </c>
      <c r="Z27" s="7" t="s">
        <v>177</v>
      </c>
      <c r="AA27" s="7" t="s">
        <v>163</v>
      </c>
      <c r="AB27" s="7" t="s">
        <v>177</v>
      </c>
      <c r="AC27" s="7" t="s">
        <v>177</v>
      </c>
      <c r="AD27" s="7" t="s">
        <v>177</v>
      </c>
      <c r="AE27" s="7" t="s">
        <v>177</v>
      </c>
      <c r="AF27" s="7" t="s">
        <v>177</v>
      </c>
      <c r="AG27" s="7" t="s">
        <v>177</v>
      </c>
      <c r="AH27" s="7" t="s">
        <v>177</v>
      </c>
      <c r="AI27" s="7" t="s">
        <v>164</v>
      </c>
      <c r="AJ27" s="7" t="s">
        <v>177</v>
      </c>
      <c r="AK27" s="7" t="s">
        <v>177</v>
      </c>
      <c r="AL27" s="7" t="s">
        <v>177</v>
      </c>
      <c r="AM27" s="7" t="s">
        <v>177</v>
      </c>
      <c r="AN27" s="7" t="s">
        <v>177</v>
      </c>
      <c r="AO27" s="7" t="s">
        <v>177</v>
      </c>
      <c r="AP27" s="7" t="s">
        <v>177</v>
      </c>
      <c r="AQ27" s="7" t="s">
        <v>165</v>
      </c>
      <c r="AR27" s="7" t="s">
        <v>177</v>
      </c>
      <c r="AS27" s="7" t="s">
        <v>177</v>
      </c>
      <c r="AT27" s="7" t="s">
        <v>177</v>
      </c>
      <c r="AU27" s="7" t="s">
        <v>177</v>
      </c>
      <c r="AV27" s="7" t="s">
        <v>177</v>
      </c>
      <c r="AW27" s="7" t="s">
        <v>166</v>
      </c>
      <c r="AX27" s="7"/>
      <c r="AY27" s="7"/>
      <c r="AZ27" s="7"/>
      <c r="BA27" s="7"/>
      <c r="BB27" s="7"/>
      <c r="BC27" s="7" t="s">
        <v>14</v>
      </c>
      <c r="BD27" s="7" t="s">
        <v>177</v>
      </c>
      <c r="BE27" s="7" t="s">
        <v>167</v>
      </c>
      <c r="BF27" s="7"/>
      <c r="BG27" s="7" t="s">
        <v>49</v>
      </c>
      <c r="BH27" s="7"/>
      <c r="BI27" s="7"/>
      <c r="BJ27" s="7" t="s">
        <v>29</v>
      </c>
      <c r="BK27" s="7"/>
      <c r="BL27" s="7"/>
      <c r="BM27" s="7" t="s">
        <v>168</v>
      </c>
      <c r="BN27" s="7" t="s">
        <v>29</v>
      </c>
      <c r="BO27" s="7" t="s">
        <v>29</v>
      </c>
      <c r="BP27" s="7"/>
      <c r="BQ27" s="7"/>
      <c r="BR27" s="7" t="s">
        <v>103</v>
      </c>
      <c r="BS27" s="7" t="s">
        <v>103</v>
      </c>
      <c r="BT27" s="7"/>
      <c r="BU27" s="7"/>
      <c r="BV27" s="7" t="s">
        <v>169</v>
      </c>
      <c r="BW27" s="7" t="s">
        <v>14</v>
      </c>
      <c r="BX27" s="7"/>
      <c r="BY27" s="7" t="s">
        <v>103</v>
      </c>
      <c r="BZ27" s="7"/>
      <c r="CA27" s="7"/>
      <c r="CB27" s="7" t="s">
        <v>103</v>
      </c>
      <c r="CC27" s="7" t="s">
        <v>103</v>
      </c>
      <c r="CD27" s="7" t="s">
        <v>170</v>
      </c>
      <c r="CE27" s="7" t="s">
        <v>29</v>
      </c>
      <c r="CF27" s="7" t="s">
        <v>49</v>
      </c>
      <c r="CG27" s="7"/>
      <c r="CH27" s="7"/>
      <c r="CI27" s="7"/>
      <c r="CJ27" s="7"/>
    </row>
    <row r="28" spans="1:88" x14ac:dyDescent="0.55000000000000004">
      <c r="A28" s="7" t="s">
        <v>112</v>
      </c>
      <c r="B28" s="7" t="s">
        <v>149</v>
      </c>
      <c r="C28" s="8">
        <v>44931</v>
      </c>
      <c r="D28" s="7"/>
      <c r="E28" s="7" t="s">
        <v>41</v>
      </c>
      <c r="F28" s="8">
        <v>38398</v>
      </c>
      <c r="G28" s="7" t="str">
        <f t="shared" si="2"/>
        <v>20050215</v>
      </c>
      <c r="H28" s="7" t="s">
        <v>16</v>
      </c>
      <c r="I28" s="7">
        <f t="shared" si="3"/>
        <v>13</v>
      </c>
      <c r="J28" s="7">
        <v>168</v>
      </c>
      <c r="K28" s="7" t="s">
        <v>161</v>
      </c>
      <c r="L28" s="7" t="s">
        <v>177</v>
      </c>
      <c r="M28" s="7" t="s">
        <v>177</v>
      </c>
      <c r="N28" s="7" t="s">
        <v>177</v>
      </c>
      <c r="O28" s="7" t="s">
        <v>177</v>
      </c>
      <c r="P28" s="7" t="s">
        <v>177</v>
      </c>
      <c r="Q28" s="7" t="s">
        <v>177</v>
      </c>
      <c r="R28" s="7" t="s">
        <v>177</v>
      </c>
      <c r="S28" s="7" t="s">
        <v>162</v>
      </c>
      <c r="T28" s="7" t="s">
        <v>177</v>
      </c>
      <c r="U28" s="7" t="s">
        <v>177</v>
      </c>
      <c r="V28" s="7" t="s">
        <v>177</v>
      </c>
      <c r="W28" s="7" t="s">
        <v>177</v>
      </c>
      <c r="X28" s="7" t="s">
        <v>177</v>
      </c>
      <c r="Y28" s="7" t="s">
        <v>177</v>
      </c>
      <c r="Z28" s="7" t="s">
        <v>177</v>
      </c>
      <c r="AA28" s="7" t="s">
        <v>163</v>
      </c>
      <c r="AB28" s="7" t="s">
        <v>177</v>
      </c>
      <c r="AC28" s="7" t="s">
        <v>177</v>
      </c>
      <c r="AD28" s="7" t="s">
        <v>177</v>
      </c>
      <c r="AE28" s="7" t="s">
        <v>177</v>
      </c>
      <c r="AF28" s="7" t="s">
        <v>177</v>
      </c>
      <c r="AG28" s="7" t="s">
        <v>177</v>
      </c>
      <c r="AH28" s="7" t="s">
        <v>177</v>
      </c>
      <c r="AI28" s="7" t="s">
        <v>164</v>
      </c>
      <c r="AJ28" s="7" t="s">
        <v>177</v>
      </c>
      <c r="AK28" s="7" t="s">
        <v>177</v>
      </c>
      <c r="AL28" s="7" t="s">
        <v>177</v>
      </c>
      <c r="AM28" s="7" t="s">
        <v>177</v>
      </c>
      <c r="AN28" s="7" t="s">
        <v>177</v>
      </c>
      <c r="AO28" s="7" t="s">
        <v>177</v>
      </c>
      <c r="AP28" s="7" t="s">
        <v>177</v>
      </c>
      <c r="AQ28" s="7" t="s">
        <v>165</v>
      </c>
      <c r="AR28" s="7" t="s">
        <v>177</v>
      </c>
      <c r="AS28" s="7" t="s">
        <v>177</v>
      </c>
      <c r="AT28" s="7" t="s">
        <v>177</v>
      </c>
      <c r="AU28" s="7" t="s">
        <v>177</v>
      </c>
      <c r="AV28" s="7" t="s">
        <v>177</v>
      </c>
      <c r="AW28" s="7" t="s">
        <v>166</v>
      </c>
      <c r="AX28" s="7"/>
      <c r="AY28" s="7"/>
      <c r="AZ28" s="7"/>
      <c r="BA28" s="7"/>
      <c r="BB28" s="7"/>
      <c r="BC28" s="7" t="s">
        <v>49</v>
      </c>
      <c r="BD28" s="7" t="s">
        <v>177</v>
      </c>
      <c r="BE28" s="7" t="s">
        <v>167</v>
      </c>
      <c r="BF28" s="7"/>
      <c r="BG28" s="7" t="s">
        <v>14</v>
      </c>
      <c r="BH28" s="7"/>
      <c r="BI28" s="7"/>
      <c r="BJ28" s="7" t="s">
        <v>14</v>
      </c>
      <c r="BK28" s="7"/>
      <c r="BL28" s="7"/>
      <c r="BM28" s="7" t="s">
        <v>168</v>
      </c>
      <c r="BN28" s="7"/>
      <c r="BO28" s="7" t="s">
        <v>14</v>
      </c>
      <c r="BP28" s="7" t="s">
        <v>49</v>
      </c>
      <c r="BQ28" s="7"/>
      <c r="BR28" s="7" t="s">
        <v>103</v>
      </c>
      <c r="BS28" s="7"/>
      <c r="BT28" s="7"/>
      <c r="BU28" s="7"/>
      <c r="BV28" s="7" t="s">
        <v>169</v>
      </c>
      <c r="BW28" s="7"/>
      <c r="BX28" s="7" t="s">
        <v>103</v>
      </c>
      <c r="BY28" s="7" t="s">
        <v>38</v>
      </c>
      <c r="BZ28" s="7"/>
      <c r="CA28" s="7"/>
      <c r="CB28" s="7"/>
      <c r="CC28" s="7"/>
      <c r="CD28" s="7" t="s">
        <v>170</v>
      </c>
      <c r="CE28" s="7" t="s">
        <v>29</v>
      </c>
      <c r="CF28" s="7" t="s">
        <v>29</v>
      </c>
      <c r="CG28" s="7"/>
      <c r="CH28" s="7"/>
      <c r="CI28" s="7"/>
      <c r="CJ28" s="7"/>
    </row>
    <row r="29" spans="1:88" x14ac:dyDescent="0.55000000000000004">
      <c r="A29" s="7" t="s">
        <v>113</v>
      </c>
      <c r="B29" s="7" t="s">
        <v>150</v>
      </c>
      <c r="C29" s="8">
        <v>44931</v>
      </c>
      <c r="D29" s="7"/>
      <c r="E29" s="7" t="s">
        <v>41</v>
      </c>
      <c r="F29" s="8">
        <v>38374</v>
      </c>
      <c r="G29" s="7" t="str">
        <f t="shared" si="2"/>
        <v>20050122</v>
      </c>
      <c r="H29" s="7" t="s">
        <v>48</v>
      </c>
      <c r="I29" s="7">
        <f t="shared" si="3"/>
        <v>26</v>
      </c>
      <c r="J29" s="7">
        <v>152</v>
      </c>
      <c r="K29" s="7" t="s">
        <v>161</v>
      </c>
      <c r="L29" s="7" t="s">
        <v>177</v>
      </c>
      <c r="M29" s="7" t="s">
        <v>177</v>
      </c>
      <c r="N29" s="7" t="s">
        <v>177</v>
      </c>
      <c r="O29" s="7" t="s">
        <v>177</v>
      </c>
      <c r="P29" s="7" t="s">
        <v>177</v>
      </c>
      <c r="Q29" s="7" t="s">
        <v>177</v>
      </c>
      <c r="R29" s="7" t="s">
        <v>177</v>
      </c>
      <c r="S29" s="7" t="s">
        <v>162</v>
      </c>
      <c r="T29" s="7" t="s">
        <v>177</v>
      </c>
      <c r="U29" s="7" t="s">
        <v>177</v>
      </c>
      <c r="V29" s="7" t="s">
        <v>177</v>
      </c>
      <c r="W29" s="7" t="s">
        <v>177</v>
      </c>
      <c r="X29" s="7" t="s">
        <v>177</v>
      </c>
      <c r="Y29" s="7" t="s">
        <v>177</v>
      </c>
      <c r="Z29" s="7" t="s">
        <v>177</v>
      </c>
      <c r="AA29" s="7" t="s">
        <v>163</v>
      </c>
      <c r="AB29" s="7" t="s">
        <v>177</v>
      </c>
      <c r="AC29" s="7" t="s">
        <v>177</v>
      </c>
      <c r="AD29" s="7" t="s">
        <v>177</v>
      </c>
      <c r="AE29" s="7" t="s">
        <v>177</v>
      </c>
      <c r="AF29" s="7" t="s">
        <v>177</v>
      </c>
      <c r="AG29" s="7" t="s">
        <v>177</v>
      </c>
      <c r="AH29" s="7" t="s">
        <v>177</v>
      </c>
      <c r="AI29" s="7" t="s">
        <v>164</v>
      </c>
      <c r="AJ29" s="7" t="s">
        <v>177</v>
      </c>
      <c r="AK29" s="7" t="s">
        <v>177</v>
      </c>
      <c r="AL29" s="7" t="s">
        <v>177</v>
      </c>
      <c r="AM29" s="7" t="s">
        <v>177</v>
      </c>
      <c r="AN29" s="7" t="s">
        <v>177</v>
      </c>
      <c r="AO29" s="7" t="s">
        <v>177</v>
      </c>
      <c r="AP29" s="7" t="s">
        <v>177</v>
      </c>
      <c r="AQ29" s="7" t="s">
        <v>165</v>
      </c>
      <c r="AR29" s="7" t="s">
        <v>177</v>
      </c>
      <c r="AS29" s="7" t="s">
        <v>177</v>
      </c>
      <c r="AT29" s="7" t="s">
        <v>177</v>
      </c>
      <c r="AU29" s="7" t="s">
        <v>177</v>
      </c>
      <c r="AV29" s="7" t="s">
        <v>177</v>
      </c>
      <c r="AW29" s="7" t="s">
        <v>166</v>
      </c>
      <c r="AX29" s="7"/>
      <c r="AY29" s="7"/>
      <c r="AZ29" s="7"/>
      <c r="BA29" s="7"/>
      <c r="BB29" s="7"/>
      <c r="BC29" s="7" t="s">
        <v>14</v>
      </c>
      <c r="BD29" s="7" t="s">
        <v>177</v>
      </c>
      <c r="BE29" s="7" t="s">
        <v>167</v>
      </c>
      <c r="BF29" s="7"/>
      <c r="BG29" s="7" t="s">
        <v>38</v>
      </c>
      <c r="BH29" s="7"/>
      <c r="BI29" s="7"/>
      <c r="BJ29" s="7" t="s">
        <v>29</v>
      </c>
      <c r="BK29" s="7"/>
      <c r="BL29" s="7"/>
      <c r="BM29" s="7" t="s">
        <v>168</v>
      </c>
      <c r="BN29" s="7" t="s">
        <v>49</v>
      </c>
      <c r="BO29" s="7" t="s">
        <v>29</v>
      </c>
      <c r="BP29" s="7"/>
      <c r="BQ29" s="7"/>
      <c r="BR29" s="7" t="s">
        <v>103</v>
      </c>
      <c r="BS29" s="7" t="s">
        <v>103</v>
      </c>
      <c r="BT29" s="7"/>
      <c r="BU29" s="7"/>
      <c r="BV29" s="7" t="s">
        <v>169</v>
      </c>
      <c r="BW29" s="7" t="s">
        <v>14</v>
      </c>
      <c r="BX29" s="7"/>
      <c r="BY29" s="7" t="s">
        <v>103</v>
      </c>
      <c r="BZ29" s="7"/>
      <c r="CA29" s="7" t="s">
        <v>103</v>
      </c>
      <c r="CB29" s="7"/>
      <c r="CC29" s="7" t="s">
        <v>103</v>
      </c>
      <c r="CD29" s="7" t="s">
        <v>170</v>
      </c>
      <c r="CE29" s="7" t="s">
        <v>38</v>
      </c>
      <c r="CF29" s="7" t="s">
        <v>49</v>
      </c>
      <c r="CG29" s="7"/>
      <c r="CH29" s="7"/>
      <c r="CI29" s="7"/>
      <c r="CJ29" s="7"/>
    </row>
    <row r="30" spans="1:88" x14ac:dyDescent="0.55000000000000004">
      <c r="A30" s="29" t="s">
        <v>114</v>
      </c>
      <c r="B30" s="26" t="s">
        <v>151</v>
      </c>
      <c r="C30" s="21">
        <v>42237</v>
      </c>
      <c r="D30" s="21">
        <v>45323</v>
      </c>
      <c r="E30" s="20" t="s">
        <v>10</v>
      </c>
      <c r="F30" s="21">
        <v>36456</v>
      </c>
      <c r="G30" s="20" t="str">
        <f t="shared" ref="G30:G39" si="4">TEXT(F30, "yyyymmdd")</f>
        <v>19991023</v>
      </c>
      <c r="H30" s="20" t="s">
        <v>44</v>
      </c>
      <c r="I30" s="22">
        <f t="shared" ref="I30:I39" si="5">IF(H30="北海道",1,IF(H30="青森県",2,IF(H30="岩手県",3,IF(H30="宮城県",4,IF(H30="秋田県",5,IF(H30="山形県",6,IF(H30="福島県",7,IF(H30="茨城県",8,IF(H30="栃木県",9,IF(H30="群馬県",10,IF(H30="埼玉県",11,IF(H30="千葉県",12,IF(H30="東京都",13,IF(H30="神奈川県",14,IF(H30="新潟県",15,IF(H30="富山県",16,IF(H30="石川県",17,IF(H30="福井県",18,IF(H30="山梨県",19,IF(H30="長野県",20,IF(H30="岐阜県",21,IF(H30="静岡県",22,IF(H30="愛知県",23,IF(H30="三重県",24,IF(H30="滋賀県",25,IF(H30="京都府",26,IF(H30="大阪府",27,IF(H30="兵庫県",28,IF(H30="奈良県",29,IF(H30="和歌山県",30,IF(H30="鳥取県",31,IF(H30="島根県",32,IF(H30="岡山県",33,IF(H30="広島県",34,IF(H30="山口県",35,IF(H30="徳島県",36,IF(H30="香川県",37,IF(H30="愛媛県",38,IF(H30="高知県",39,IF(H30="福岡県",40,IF(H30="佐賀県",41,IF(H30="長崎県",42,IF(H30="熊本県",43,IF(H30="大分県",44,IF(H30="宮崎県",45,IF(H30="鹿児島県",46,IF(H30="沖縄県",47,"")))))))))))))))))))))))))))))))))))))))))))))))</f>
        <v>11</v>
      </c>
      <c r="J30" s="20">
        <v>161</v>
      </c>
      <c r="K30" s="23" t="s">
        <v>161</v>
      </c>
      <c r="L30" s="20" t="s">
        <v>49</v>
      </c>
      <c r="M30" s="20" t="s">
        <v>49</v>
      </c>
      <c r="N30" s="20" t="s">
        <v>49</v>
      </c>
      <c r="O30" s="20" t="s">
        <v>49</v>
      </c>
      <c r="P30" s="20" t="s">
        <v>49</v>
      </c>
      <c r="Q30" s="20" t="s">
        <v>49</v>
      </c>
      <c r="R30" s="20" t="s">
        <v>49</v>
      </c>
      <c r="S30" s="23" t="s">
        <v>162</v>
      </c>
      <c r="T30" s="20" t="s">
        <v>49</v>
      </c>
      <c r="U30" s="20" t="s">
        <v>49</v>
      </c>
      <c r="V30" s="20" t="s">
        <v>49</v>
      </c>
      <c r="W30" s="20" t="s">
        <v>49</v>
      </c>
      <c r="X30" s="20" t="s">
        <v>49</v>
      </c>
      <c r="Y30" s="20" t="s">
        <v>49</v>
      </c>
      <c r="Z30" s="20" t="s">
        <v>103</v>
      </c>
      <c r="AA30" s="23" t="s">
        <v>163</v>
      </c>
      <c r="AB30" s="20" t="s">
        <v>14</v>
      </c>
      <c r="AC30" s="20" t="s">
        <v>14</v>
      </c>
      <c r="AD30" s="20" t="s">
        <v>14</v>
      </c>
      <c r="AF30" s="20" t="s">
        <v>103</v>
      </c>
      <c r="AH30" s="20" t="s">
        <v>14</v>
      </c>
      <c r="AI30" s="23" t="s">
        <v>164</v>
      </c>
      <c r="AJ30" s="20" t="s">
        <v>14</v>
      </c>
      <c r="AK30" s="20" t="s">
        <v>49</v>
      </c>
      <c r="AM30" s="20" t="s">
        <v>14</v>
      </c>
      <c r="AO30" s="20" t="s">
        <v>14</v>
      </c>
      <c r="AP30" s="20" t="s">
        <v>14</v>
      </c>
      <c r="AQ30" s="23" t="s">
        <v>165</v>
      </c>
      <c r="AR30" s="20" t="s">
        <v>14</v>
      </c>
      <c r="AS30" s="20" t="s">
        <v>14</v>
      </c>
      <c r="AU30" s="20" t="s">
        <v>49</v>
      </c>
      <c r="AW30" s="23" t="s">
        <v>166</v>
      </c>
      <c r="AX30" s="20" t="s">
        <v>49</v>
      </c>
      <c r="AY30" s="20" t="s">
        <v>49</v>
      </c>
      <c r="BA30" s="20" t="s">
        <v>103</v>
      </c>
      <c r="BB30" s="20" t="s">
        <v>103</v>
      </c>
      <c r="BD30" s="20" t="s">
        <v>103</v>
      </c>
      <c r="BE30" s="23" t="s">
        <v>167</v>
      </c>
      <c r="BF30" s="20" t="s">
        <v>14</v>
      </c>
      <c r="BH30" s="20" t="s">
        <v>103</v>
      </c>
      <c r="BK30" s="20" t="s">
        <v>14</v>
      </c>
      <c r="BL30" s="20" t="s">
        <v>14</v>
      </c>
      <c r="BM30" s="23" t="s">
        <v>168</v>
      </c>
      <c r="BN30" s="20" t="s">
        <v>14</v>
      </c>
      <c r="BQ30" s="20" t="s">
        <v>103</v>
      </c>
      <c r="BS30" s="20" t="s">
        <v>103</v>
      </c>
      <c r="BT30" s="20" t="s">
        <v>38</v>
      </c>
      <c r="BU30" s="20" t="s">
        <v>103</v>
      </c>
      <c r="BV30" s="23" t="s">
        <v>169</v>
      </c>
      <c r="BW30" s="20" t="s">
        <v>199</v>
      </c>
      <c r="BX30" s="20" t="s">
        <v>199</v>
      </c>
      <c r="BY30" s="20" t="s">
        <v>199</v>
      </c>
      <c r="BZ30" s="20" t="s">
        <v>199</v>
      </c>
      <c r="CA30" s="20" t="s">
        <v>199</v>
      </c>
      <c r="CB30" s="20" t="s">
        <v>199</v>
      </c>
      <c r="CC30" s="20" t="s">
        <v>199</v>
      </c>
      <c r="CD30" s="19" t="s">
        <v>170</v>
      </c>
    </row>
    <row r="31" spans="1:88" x14ac:dyDescent="0.55000000000000004">
      <c r="A31" s="29" t="s">
        <v>115</v>
      </c>
      <c r="B31" s="26" t="s">
        <v>152</v>
      </c>
      <c r="C31" s="21">
        <v>42237</v>
      </c>
      <c r="D31" s="21">
        <v>45255</v>
      </c>
      <c r="E31" s="20" t="s">
        <v>10</v>
      </c>
      <c r="F31" s="21">
        <v>35618</v>
      </c>
      <c r="G31" s="20" t="str">
        <f t="shared" si="4"/>
        <v>19970707</v>
      </c>
      <c r="H31" s="20" t="s">
        <v>16</v>
      </c>
      <c r="I31" s="22">
        <f t="shared" si="5"/>
        <v>13</v>
      </c>
      <c r="J31" s="20">
        <v>171.6</v>
      </c>
      <c r="K31" s="23" t="s">
        <v>161</v>
      </c>
      <c r="L31" s="20" t="s">
        <v>29</v>
      </c>
      <c r="M31" s="20" t="s">
        <v>29</v>
      </c>
      <c r="N31" s="20" t="s">
        <v>29</v>
      </c>
      <c r="S31" s="23" t="s">
        <v>162</v>
      </c>
      <c r="T31" s="20" t="s">
        <v>29</v>
      </c>
      <c r="U31" s="20" t="s">
        <v>29</v>
      </c>
      <c r="Z31" s="20" t="s">
        <v>103</v>
      </c>
      <c r="AA31" s="23" t="s">
        <v>163</v>
      </c>
      <c r="AB31" s="20" t="s">
        <v>14</v>
      </c>
      <c r="AC31" s="20" t="s">
        <v>14</v>
      </c>
      <c r="AD31" s="20" t="s">
        <v>14</v>
      </c>
      <c r="AH31" s="20" t="s">
        <v>14</v>
      </c>
      <c r="AI31" s="23" t="s">
        <v>164</v>
      </c>
      <c r="AJ31" s="20" t="s">
        <v>29</v>
      </c>
      <c r="AK31" s="20" t="s">
        <v>14</v>
      </c>
      <c r="AL31" s="20" t="s">
        <v>38</v>
      </c>
      <c r="AP31" s="20" t="s">
        <v>29</v>
      </c>
      <c r="AQ31" s="23" t="s">
        <v>165</v>
      </c>
      <c r="AR31" s="20" t="s">
        <v>29</v>
      </c>
      <c r="AU31" s="20" t="s">
        <v>49</v>
      </c>
      <c r="AW31" s="23" t="s">
        <v>166</v>
      </c>
      <c r="AX31" s="20" t="s">
        <v>29</v>
      </c>
      <c r="AZ31" s="20" t="s">
        <v>103</v>
      </c>
      <c r="BA31" s="20" t="s">
        <v>103</v>
      </c>
      <c r="BB31" s="20" t="s">
        <v>103</v>
      </c>
      <c r="BD31" s="20" t="s">
        <v>103</v>
      </c>
      <c r="BE31" s="23" t="s">
        <v>167</v>
      </c>
      <c r="BF31" s="20" t="s">
        <v>14</v>
      </c>
      <c r="BH31" s="20" t="s">
        <v>103</v>
      </c>
      <c r="BK31" s="20" t="s">
        <v>14</v>
      </c>
      <c r="BL31" s="20" t="s">
        <v>14</v>
      </c>
      <c r="BM31" s="23" t="s">
        <v>168</v>
      </c>
      <c r="BN31" s="20" t="s">
        <v>29</v>
      </c>
      <c r="BQ31" s="20" t="s">
        <v>103</v>
      </c>
      <c r="BS31" s="20" t="s">
        <v>103</v>
      </c>
      <c r="BT31" s="20" t="s">
        <v>103</v>
      </c>
      <c r="BU31" s="20" t="s">
        <v>199</v>
      </c>
      <c r="BV31" s="23" t="s">
        <v>169</v>
      </c>
      <c r="BW31" s="20" t="s">
        <v>199</v>
      </c>
      <c r="BX31" s="20" t="s">
        <v>199</v>
      </c>
      <c r="BY31" s="20" t="s">
        <v>199</v>
      </c>
      <c r="BZ31" s="20" t="s">
        <v>199</v>
      </c>
      <c r="CA31" s="20" t="s">
        <v>199</v>
      </c>
      <c r="CB31" s="20" t="s">
        <v>199</v>
      </c>
      <c r="CC31" s="20" t="s">
        <v>199</v>
      </c>
      <c r="CD31" s="19" t="s">
        <v>170</v>
      </c>
    </row>
    <row r="32" spans="1:88" x14ac:dyDescent="0.55000000000000004">
      <c r="A32" s="29" t="s">
        <v>116</v>
      </c>
      <c r="B32" s="26" t="s">
        <v>153</v>
      </c>
      <c r="C32" s="21">
        <v>43433</v>
      </c>
      <c r="D32" s="21">
        <v>45046</v>
      </c>
      <c r="E32" s="20" t="s">
        <v>18</v>
      </c>
      <c r="F32" s="21">
        <v>35975</v>
      </c>
      <c r="G32" s="20" t="str">
        <f t="shared" si="4"/>
        <v>19980629</v>
      </c>
      <c r="H32" s="20" t="s">
        <v>37</v>
      </c>
      <c r="I32" s="22">
        <f t="shared" si="5"/>
        <v>40</v>
      </c>
      <c r="J32" s="20">
        <v>167</v>
      </c>
      <c r="K32" s="23" t="s">
        <v>161</v>
      </c>
      <c r="O32" s="20" t="s">
        <v>29</v>
      </c>
      <c r="P32" s="20" t="s">
        <v>29</v>
      </c>
      <c r="S32" s="23" t="s">
        <v>162</v>
      </c>
      <c r="V32" s="20" t="s">
        <v>29</v>
      </c>
      <c r="W32" s="20" t="s">
        <v>29</v>
      </c>
      <c r="Z32" s="20" t="s">
        <v>103</v>
      </c>
      <c r="AA32" s="23" t="s">
        <v>163</v>
      </c>
      <c r="AE32" s="20" t="s">
        <v>29</v>
      </c>
      <c r="AH32" s="20" t="s">
        <v>29</v>
      </c>
      <c r="AI32" s="23" t="s">
        <v>164</v>
      </c>
      <c r="AJ32" s="20" t="s">
        <v>29</v>
      </c>
      <c r="AK32" s="20" t="s">
        <v>29</v>
      </c>
      <c r="AL32" s="20" t="s">
        <v>29</v>
      </c>
      <c r="AP32" s="20" t="s">
        <v>29</v>
      </c>
      <c r="AQ32" s="23" t="s">
        <v>165</v>
      </c>
      <c r="AR32" s="20" t="s">
        <v>29</v>
      </c>
      <c r="AW32" s="23" t="s">
        <v>166</v>
      </c>
      <c r="AY32" s="20" t="s">
        <v>29</v>
      </c>
      <c r="AZ32" s="20" t="s">
        <v>103</v>
      </c>
      <c r="BB32" s="20" t="s">
        <v>103</v>
      </c>
      <c r="BD32" s="20" t="s">
        <v>103</v>
      </c>
      <c r="BE32" s="23" t="s">
        <v>167</v>
      </c>
      <c r="BF32" s="20" t="s">
        <v>199</v>
      </c>
      <c r="BG32" s="20" t="s">
        <v>199</v>
      </c>
      <c r="BH32" s="20" t="s">
        <v>199</v>
      </c>
      <c r="BI32" s="20" t="s">
        <v>199</v>
      </c>
      <c r="BJ32" s="20" t="s">
        <v>199</v>
      </c>
      <c r="BK32" s="20" t="s">
        <v>199</v>
      </c>
      <c r="BL32" s="20" t="s">
        <v>199</v>
      </c>
      <c r="BM32" s="23" t="s">
        <v>168</v>
      </c>
      <c r="BN32" s="20" t="s">
        <v>199</v>
      </c>
      <c r="BO32" s="20" t="s">
        <v>199</v>
      </c>
      <c r="BP32" s="20" t="s">
        <v>199</v>
      </c>
      <c r="BQ32" s="20" t="s">
        <v>199</v>
      </c>
      <c r="BR32" s="20" t="s">
        <v>199</v>
      </c>
      <c r="BS32" s="20" t="s">
        <v>199</v>
      </c>
      <c r="BT32" s="20" t="s">
        <v>199</v>
      </c>
      <c r="BU32" s="20" t="s">
        <v>199</v>
      </c>
      <c r="BV32" s="23" t="s">
        <v>169</v>
      </c>
      <c r="BW32" s="20" t="s">
        <v>199</v>
      </c>
      <c r="BX32" s="20" t="s">
        <v>199</v>
      </c>
      <c r="BY32" s="20" t="s">
        <v>199</v>
      </c>
      <c r="BZ32" s="20" t="s">
        <v>199</v>
      </c>
      <c r="CA32" s="20" t="s">
        <v>199</v>
      </c>
      <c r="CB32" s="20" t="s">
        <v>199</v>
      </c>
      <c r="CC32" s="20" t="s">
        <v>199</v>
      </c>
      <c r="CD32" s="19" t="s">
        <v>170</v>
      </c>
    </row>
    <row r="33" spans="1:82" x14ac:dyDescent="0.55000000000000004">
      <c r="A33" s="29" t="s">
        <v>117</v>
      </c>
      <c r="B33" s="26" t="s">
        <v>154</v>
      </c>
      <c r="C33" s="21">
        <v>42237</v>
      </c>
      <c r="D33" s="21">
        <v>44874</v>
      </c>
      <c r="E33" s="20" t="s">
        <v>10</v>
      </c>
      <c r="F33" s="21">
        <v>35032</v>
      </c>
      <c r="G33" s="20" t="str">
        <f t="shared" si="4"/>
        <v>19951129</v>
      </c>
      <c r="H33" s="20" t="s">
        <v>16</v>
      </c>
      <c r="I33" s="22">
        <f t="shared" si="5"/>
        <v>13</v>
      </c>
      <c r="J33" s="20">
        <v>165</v>
      </c>
      <c r="K33" s="23" t="s">
        <v>161</v>
      </c>
      <c r="L33" s="20" t="s">
        <v>14</v>
      </c>
      <c r="M33" s="20" t="s">
        <v>14</v>
      </c>
      <c r="N33" s="20" t="s">
        <v>14</v>
      </c>
      <c r="O33" s="20" t="s">
        <v>14</v>
      </c>
      <c r="P33" s="20" t="s">
        <v>14</v>
      </c>
      <c r="Q33" s="20" t="s">
        <v>14</v>
      </c>
      <c r="R33" s="20" t="s">
        <v>14</v>
      </c>
      <c r="S33" s="23" t="s">
        <v>162</v>
      </c>
      <c r="T33" s="20" t="s">
        <v>14</v>
      </c>
      <c r="U33" s="20" t="s">
        <v>14</v>
      </c>
      <c r="V33" s="20" t="s">
        <v>14</v>
      </c>
      <c r="W33" s="20" t="s">
        <v>14</v>
      </c>
      <c r="X33" s="20" t="s">
        <v>14</v>
      </c>
      <c r="Y33" s="20" t="s">
        <v>14</v>
      </c>
      <c r="Z33" s="20" t="s">
        <v>103</v>
      </c>
      <c r="AA33" s="23" t="s">
        <v>163</v>
      </c>
      <c r="AB33" s="20" t="s">
        <v>14</v>
      </c>
      <c r="AC33" s="20" t="s">
        <v>14</v>
      </c>
      <c r="AD33" s="20" t="s">
        <v>14</v>
      </c>
      <c r="AH33" s="20" t="s">
        <v>14</v>
      </c>
      <c r="AI33" s="23" t="s">
        <v>164</v>
      </c>
      <c r="AJ33" s="20" t="s">
        <v>201</v>
      </c>
      <c r="AK33" s="20" t="s">
        <v>49</v>
      </c>
      <c r="AL33" s="20" t="s">
        <v>201</v>
      </c>
      <c r="AM33" s="20" t="s">
        <v>201</v>
      </c>
      <c r="AN33" s="20" t="s">
        <v>201</v>
      </c>
      <c r="AO33" s="20" t="s">
        <v>201</v>
      </c>
      <c r="AP33" s="20" t="s">
        <v>201</v>
      </c>
      <c r="AQ33" s="23" t="s">
        <v>165</v>
      </c>
      <c r="AR33" s="20" t="s">
        <v>197</v>
      </c>
      <c r="AS33" s="20" t="s">
        <v>14</v>
      </c>
      <c r="AU33" s="20" t="s">
        <v>38</v>
      </c>
      <c r="AW33" s="23" t="s">
        <v>166</v>
      </c>
      <c r="AX33" s="20" t="s">
        <v>199</v>
      </c>
      <c r="AY33" s="20" t="s">
        <v>199</v>
      </c>
      <c r="AZ33" s="20" t="s">
        <v>199</v>
      </c>
      <c r="BA33" s="20" t="s">
        <v>199</v>
      </c>
      <c r="BB33" s="20" t="s">
        <v>199</v>
      </c>
      <c r="BC33" s="20" t="s">
        <v>199</v>
      </c>
      <c r="BD33" s="20" t="s">
        <v>200</v>
      </c>
      <c r="BE33" s="23" t="s">
        <v>167</v>
      </c>
      <c r="BF33" s="20" t="s">
        <v>199</v>
      </c>
      <c r="BG33" s="20" t="s">
        <v>199</v>
      </c>
      <c r="BH33" s="20" t="s">
        <v>199</v>
      </c>
      <c r="BI33" s="20" t="s">
        <v>199</v>
      </c>
      <c r="BJ33" s="20" t="s">
        <v>199</v>
      </c>
      <c r="BK33" s="20" t="s">
        <v>199</v>
      </c>
      <c r="BL33" s="20" t="s">
        <v>199</v>
      </c>
      <c r="BM33" s="23" t="s">
        <v>168</v>
      </c>
      <c r="BN33" s="20" t="s">
        <v>199</v>
      </c>
      <c r="BO33" s="20" t="s">
        <v>199</v>
      </c>
      <c r="BP33" s="20" t="s">
        <v>199</v>
      </c>
      <c r="BQ33" s="20" t="s">
        <v>199</v>
      </c>
      <c r="BR33" s="20" t="s">
        <v>199</v>
      </c>
      <c r="BS33" s="20" t="s">
        <v>199</v>
      </c>
      <c r="BT33" s="20" t="s">
        <v>199</v>
      </c>
      <c r="BU33" s="20" t="s">
        <v>199</v>
      </c>
      <c r="BV33" s="23" t="s">
        <v>169</v>
      </c>
      <c r="BW33" s="20" t="s">
        <v>199</v>
      </c>
      <c r="BX33" s="20" t="s">
        <v>199</v>
      </c>
      <c r="BY33" s="20" t="s">
        <v>199</v>
      </c>
      <c r="BZ33" s="20" t="s">
        <v>199</v>
      </c>
      <c r="CA33" s="20" t="s">
        <v>199</v>
      </c>
      <c r="CB33" s="20" t="s">
        <v>199</v>
      </c>
      <c r="CC33" s="20" t="s">
        <v>199</v>
      </c>
      <c r="CD33" s="19" t="s">
        <v>170</v>
      </c>
    </row>
    <row r="34" spans="1:82" x14ac:dyDescent="0.55000000000000004">
      <c r="A34" s="29" t="s">
        <v>118</v>
      </c>
      <c r="B34" s="26" t="s">
        <v>155</v>
      </c>
      <c r="C34" s="21">
        <v>42237</v>
      </c>
      <c r="D34" s="21">
        <v>44815</v>
      </c>
      <c r="E34" s="20" t="s">
        <v>10</v>
      </c>
      <c r="F34" s="21">
        <v>35710</v>
      </c>
      <c r="G34" s="20" t="str">
        <f t="shared" si="4"/>
        <v>19971007</v>
      </c>
      <c r="H34" s="20" t="s">
        <v>20</v>
      </c>
      <c r="I34" s="22">
        <f t="shared" si="5"/>
        <v>14</v>
      </c>
      <c r="J34" s="20">
        <v>156.5</v>
      </c>
      <c r="K34" s="23" t="s">
        <v>161</v>
      </c>
      <c r="L34" s="20" t="s">
        <v>29</v>
      </c>
      <c r="M34" s="20" t="s">
        <v>29</v>
      </c>
      <c r="N34" s="20" t="s">
        <v>29</v>
      </c>
      <c r="S34" s="23" t="s">
        <v>162</v>
      </c>
      <c r="V34" s="20" t="s">
        <v>29</v>
      </c>
      <c r="W34" s="20" t="s">
        <v>29</v>
      </c>
      <c r="Z34" s="20" t="s">
        <v>103</v>
      </c>
      <c r="AA34" s="23" t="s">
        <v>163</v>
      </c>
      <c r="AE34" s="20" t="s">
        <v>29</v>
      </c>
      <c r="AH34" s="20" t="s">
        <v>29</v>
      </c>
      <c r="AI34" s="23" t="s">
        <v>164</v>
      </c>
      <c r="AK34" s="20" t="s">
        <v>29</v>
      </c>
      <c r="AL34" s="20" t="s">
        <v>29</v>
      </c>
      <c r="AO34" s="20" t="s">
        <v>29</v>
      </c>
      <c r="AQ34" s="23" t="s">
        <v>165</v>
      </c>
      <c r="AS34" s="20" t="s">
        <v>29</v>
      </c>
      <c r="AU34" s="20" t="s">
        <v>14</v>
      </c>
      <c r="AW34" s="23" t="s">
        <v>166</v>
      </c>
      <c r="AX34" s="20" t="s">
        <v>199</v>
      </c>
      <c r="AY34" s="20" t="s">
        <v>199</v>
      </c>
      <c r="AZ34" s="20" t="s">
        <v>199</v>
      </c>
      <c r="BA34" s="20" t="s">
        <v>199</v>
      </c>
      <c r="BB34" s="20" t="s">
        <v>199</v>
      </c>
      <c r="BC34" s="20" t="s">
        <v>199</v>
      </c>
      <c r="BD34" s="20" t="s">
        <v>198</v>
      </c>
      <c r="BE34" s="23" t="s">
        <v>167</v>
      </c>
      <c r="BF34" s="20" t="s">
        <v>199</v>
      </c>
      <c r="BG34" s="20" t="s">
        <v>199</v>
      </c>
      <c r="BH34" s="20" t="s">
        <v>199</v>
      </c>
      <c r="BI34" s="20" t="s">
        <v>199</v>
      </c>
      <c r="BJ34" s="20" t="s">
        <v>199</v>
      </c>
      <c r="BK34" s="20" t="s">
        <v>199</v>
      </c>
      <c r="BL34" s="20" t="s">
        <v>199</v>
      </c>
      <c r="BM34" s="23" t="s">
        <v>168</v>
      </c>
      <c r="BN34" s="20" t="s">
        <v>199</v>
      </c>
      <c r="BO34" s="20" t="s">
        <v>199</v>
      </c>
      <c r="BP34" s="20" t="s">
        <v>199</v>
      </c>
      <c r="BQ34" s="20" t="s">
        <v>199</v>
      </c>
      <c r="BR34" s="20" t="s">
        <v>199</v>
      </c>
      <c r="BS34" s="20" t="s">
        <v>199</v>
      </c>
      <c r="BT34" s="20" t="s">
        <v>199</v>
      </c>
      <c r="BU34" s="20" t="s">
        <v>199</v>
      </c>
      <c r="BV34" s="23" t="s">
        <v>169</v>
      </c>
      <c r="BW34" s="20" t="s">
        <v>199</v>
      </c>
      <c r="BX34" s="20" t="s">
        <v>199</v>
      </c>
      <c r="BY34" s="20" t="s">
        <v>199</v>
      </c>
      <c r="BZ34" s="20" t="s">
        <v>199</v>
      </c>
      <c r="CA34" s="20" t="s">
        <v>199</v>
      </c>
      <c r="CB34" s="20" t="s">
        <v>199</v>
      </c>
      <c r="CC34" s="20" t="s">
        <v>199</v>
      </c>
      <c r="CD34" s="19" t="s">
        <v>170</v>
      </c>
    </row>
    <row r="35" spans="1:82" x14ac:dyDescent="0.55000000000000004">
      <c r="A35" s="29" t="s">
        <v>119</v>
      </c>
      <c r="B35" s="26" t="s">
        <v>156</v>
      </c>
      <c r="C35" s="21">
        <v>42237</v>
      </c>
      <c r="D35" s="21">
        <v>44723</v>
      </c>
      <c r="E35" s="20" t="s">
        <v>10</v>
      </c>
      <c r="F35" s="21">
        <v>36653</v>
      </c>
      <c r="G35" s="20" t="str">
        <f t="shared" si="4"/>
        <v>20000507</v>
      </c>
      <c r="H35" s="20" t="s">
        <v>16</v>
      </c>
      <c r="I35" s="22">
        <f t="shared" si="5"/>
        <v>13</v>
      </c>
      <c r="J35" s="20">
        <v>156</v>
      </c>
      <c r="K35" s="23" t="s">
        <v>161</v>
      </c>
      <c r="O35" s="20" t="s">
        <v>29</v>
      </c>
      <c r="P35" s="20" t="s">
        <v>29</v>
      </c>
      <c r="S35" s="23" t="s">
        <v>162</v>
      </c>
      <c r="V35" s="20" t="s">
        <v>29</v>
      </c>
      <c r="W35" s="20" t="s">
        <v>29</v>
      </c>
      <c r="Z35" s="20" t="s">
        <v>103</v>
      </c>
      <c r="AA35" s="23" t="s">
        <v>163</v>
      </c>
      <c r="AD35" s="20" t="s">
        <v>29</v>
      </c>
      <c r="AE35" s="20" t="s">
        <v>14</v>
      </c>
      <c r="AI35" s="23" t="s">
        <v>164</v>
      </c>
      <c r="AK35" s="20" t="s">
        <v>14</v>
      </c>
      <c r="AL35" s="20" t="s">
        <v>14</v>
      </c>
      <c r="AO35" s="20" t="s">
        <v>29</v>
      </c>
      <c r="AQ35" s="23" t="s">
        <v>165</v>
      </c>
      <c r="AR35" s="20" t="s">
        <v>199</v>
      </c>
      <c r="AS35" s="20" t="s">
        <v>199</v>
      </c>
      <c r="AT35" s="20" t="s">
        <v>199</v>
      </c>
      <c r="AU35" s="20" t="s">
        <v>199</v>
      </c>
      <c r="AV35" s="20" t="s">
        <v>199</v>
      </c>
      <c r="AW35" s="23" t="s">
        <v>166</v>
      </c>
      <c r="AX35" s="20" t="s">
        <v>199</v>
      </c>
      <c r="AY35" s="20" t="s">
        <v>199</v>
      </c>
      <c r="AZ35" s="20" t="s">
        <v>199</v>
      </c>
      <c r="BA35" s="20" t="s">
        <v>199</v>
      </c>
      <c r="BB35" s="20" t="s">
        <v>199</v>
      </c>
      <c r="BC35" s="20" t="s">
        <v>199</v>
      </c>
      <c r="BD35" s="20" t="s">
        <v>199</v>
      </c>
      <c r="BE35" s="23" t="s">
        <v>167</v>
      </c>
      <c r="BF35" s="20" t="s">
        <v>199</v>
      </c>
      <c r="BG35" s="20" t="s">
        <v>199</v>
      </c>
      <c r="BH35" s="20" t="s">
        <v>199</v>
      </c>
      <c r="BI35" s="20" t="s">
        <v>199</v>
      </c>
      <c r="BJ35" s="20" t="s">
        <v>199</v>
      </c>
      <c r="BK35" s="20" t="s">
        <v>199</v>
      </c>
      <c r="BL35" s="20" t="s">
        <v>199</v>
      </c>
      <c r="BM35" s="23" t="s">
        <v>168</v>
      </c>
      <c r="BN35" s="20" t="s">
        <v>199</v>
      </c>
      <c r="BO35" s="20" t="s">
        <v>199</v>
      </c>
      <c r="BP35" s="20" t="s">
        <v>199</v>
      </c>
      <c r="BQ35" s="20" t="s">
        <v>199</v>
      </c>
      <c r="BR35" s="20" t="s">
        <v>199</v>
      </c>
      <c r="BS35" s="20" t="s">
        <v>199</v>
      </c>
      <c r="BT35" s="20" t="s">
        <v>199</v>
      </c>
      <c r="BU35" s="20" t="s">
        <v>199</v>
      </c>
      <c r="BV35" s="23" t="s">
        <v>169</v>
      </c>
      <c r="BW35" s="20" t="s">
        <v>199</v>
      </c>
      <c r="BX35" s="20" t="s">
        <v>199</v>
      </c>
      <c r="BY35" s="20" t="s">
        <v>199</v>
      </c>
      <c r="BZ35" s="20" t="s">
        <v>199</v>
      </c>
      <c r="CA35" s="20" t="s">
        <v>199</v>
      </c>
      <c r="CB35" s="20" t="s">
        <v>199</v>
      </c>
      <c r="CC35" s="20" t="s">
        <v>199</v>
      </c>
      <c r="CD35" s="19" t="s">
        <v>170</v>
      </c>
    </row>
    <row r="36" spans="1:82" x14ac:dyDescent="0.55000000000000004">
      <c r="A36" s="29" t="s">
        <v>120</v>
      </c>
      <c r="B36" s="26" t="s">
        <v>157</v>
      </c>
      <c r="C36" s="21">
        <v>42237</v>
      </c>
      <c r="D36" s="21">
        <v>44703</v>
      </c>
      <c r="E36" s="20" t="s">
        <v>10</v>
      </c>
      <c r="F36" s="21">
        <v>36003</v>
      </c>
      <c r="G36" s="20" t="str">
        <f t="shared" si="4"/>
        <v>19980727</v>
      </c>
      <c r="H36" s="20" t="s">
        <v>50</v>
      </c>
      <c r="I36" s="22">
        <f t="shared" si="5"/>
        <v>8</v>
      </c>
      <c r="J36" s="20">
        <v>167</v>
      </c>
      <c r="K36" s="23" t="s">
        <v>161</v>
      </c>
      <c r="L36" s="20" t="s">
        <v>49</v>
      </c>
      <c r="M36" s="20" t="s">
        <v>49</v>
      </c>
      <c r="N36" s="20" t="s">
        <v>49</v>
      </c>
      <c r="O36" s="20" t="s">
        <v>49</v>
      </c>
      <c r="P36" s="20" t="s">
        <v>49</v>
      </c>
      <c r="Q36" s="20" t="s">
        <v>49</v>
      </c>
      <c r="R36" s="20" t="s">
        <v>49</v>
      </c>
      <c r="S36" s="23" t="s">
        <v>162</v>
      </c>
      <c r="T36" s="20" t="s">
        <v>49</v>
      </c>
      <c r="U36" s="20" t="s">
        <v>49</v>
      </c>
      <c r="V36" s="20" t="s">
        <v>49</v>
      </c>
      <c r="W36" s="20" t="s">
        <v>49</v>
      </c>
      <c r="X36" s="20" t="s">
        <v>49</v>
      </c>
      <c r="Y36" s="20" t="s">
        <v>49</v>
      </c>
      <c r="Z36" s="20" t="s">
        <v>103</v>
      </c>
      <c r="AA36" s="23" t="s">
        <v>163</v>
      </c>
      <c r="AB36" s="20" t="s">
        <v>14</v>
      </c>
      <c r="AC36" s="20" t="s">
        <v>14</v>
      </c>
      <c r="AD36" s="20" t="s">
        <v>14</v>
      </c>
      <c r="AH36" s="20" t="s">
        <v>38</v>
      </c>
      <c r="AI36" s="23" t="s">
        <v>164</v>
      </c>
      <c r="AJ36" s="20" t="s">
        <v>14</v>
      </c>
      <c r="AK36" s="20" t="s">
        <v>38</v>
      </c>
      <c r="AL36" s="20" t="s">
        <v>202</v>
      </c>
      <c r="AM36" s="20" t="s">
        <v>202</v>
      </c>
      <c r="AN36" s="20" t="s">
        <v>202</v>
      </c>
      <c r="AO36" s="20" t="s">
        <v>202</v>
      </c>
      <c r="AP36" s="20" t="s">
        <v>202</v>
      </c>
      <c r="AQ36" s="23" t="s">
        <v>165</v>
      </c>
      <c r="AR36" s="20" t="s">
        <v>199</v>
      </c>
      <c r="AS36" s="20" t="s">
        <v>199</v>
      </c>
      <c r="AT36" s="20" t="s">
        <v>199</v>
      </c>
      <c r="AU36" s="20" t="s">
        <v>199</v>
      </c>
      <c r="AV36" s="20" t="s">
        <v>199</v>
      </c>
      <c r="AW36" s="23" t="s">
        <v>166</v>
      </c>
      <c r="AX36" s="20" t="s">
        <v>199</v>
      </c>
      <c r="AY36" s="20" t="s">
        <v>199</v>
      </c>
      <c r="AZ36" s="20" t="s">
        <v>199</v>
      </c>
      <c r="BA36" s="20" t="s">
        <v>199</v>
      </c>
      <c r="BB36" s="20" t="s">
        <v>199</v>
      </c>
      <c r="BC36" s="20" t="s">
        <v>199</v>
      </c>
      <c r="BD36" s="20" t="s">
        <v>199</v>
      </c>
      <c r="BE36" s="23" t="s">
        <v>167</v>
      </c>
      <c r="BF36" s="20" t="s">
        <v>199</v>
      </c>
      <c r="BG36" s="20" t="s">
        <v>199</v>
      </c>
      <c r="BH36" s="20" t="s">
        <v>199</v>
      </c>
      <c r="BI36" s="20" t="s">
        <v>199</v>
      </c>
      <c r="BJ36" s="20" t="s">
        <v>199</v>
      </c>
      <c r="BK36" s="20" t="s">
        <v>199</v>
      </c>
      <c r="BL36" s="20" t="s">
        <v>199</v>
      </c>
      <c r="BM36" s="23" t="s">
        <v>168</v>
      </c>
      <c r="BN36" s="20" t="s">
        <v>199</v>
      </c>
      <c r="BO36" s="20" t="s">
        <v>199</v>
      </c>
      <c r="BP36" s="20" t="s">
        <v>199</v>
      </c>
      <c r="BQ36" s="20" t="s">
        <v>199</v>
      </c>
      <c r="BR36" s="20" t="s">
        <v>199</v>
      </c>
      <c r="BS36" s="20" t="s">
        <v>199</v>
      </c>
      <c r="BT36" s="20" t="s">
        <v>199</v>
      </c>
      <c r="BU36" s="20" t="s">
        <v>199</v>
      </c>
      <c r="BV36" s="23" t="s">
        <v>169</v>
      </c>
      <c r="BW36" s="20" t="s">
        <v>199</v>
      </c>
      <c r="BX36" s="20" t="s">
        <v>199</v>
      </c>
      <c r="BY36" s="20" t="s">
        <v>199</v>
      </c>
      <c r="BZ36" s="20" t="s">
        <v>199</v>
      </c>
      <c r="CA36" s="20" t="s">
        <v>199</v>
      </c>
      <c r="CB36" s="20" t="s">
        <v>199</v>
      </c>
      <c r="CC36" s="20" t="s">
        <v>199</v>
      </c>
      <c r="CD36" s="19" t="s">
        <v>170</v>
      </c>
    </row>
    <row r="37" spans="1:82" x14ac:dyDescent="0.55000000000000004">
      <c r="A37" s="29" t="s">
        <v>121</v>
      </c>
      <c r="B37" s="26" t="s">
        <v>158</v>
      </c>
      <c r="C37" s="21">
        <v>42237</v>
      </c>
      <c r="D37" s="21">
        <v>44529</v>
      </c>
      <c r="E37" s="20" t="s">
        <v>10</v>
      </c>
      <c r="F37" s="21">
        <v>35746</v>
      </c>
      <c r="G37" s="20" t="str">
        <f t="shared" si="4"/>
        <v>19971112</v>
      </c>
      <c r="H37" s="20" t="s">
        <v>51</v>
      </c>
      <c r="I37" s="22">
        <f t="shared" si="5"/>
        <v>4</v>
      </c>
      <c r="J37" s="20">
        <v>163.5</v>
      </c>
      <c r="K37" s="23" t="s">
        <v>161</v>
      </c>
      <c r="L37" s="20" t="s">
        <v>29</v>
      </c>
      <c r="M37" s="20" t="s">
        <v>29</v>
      </c>
      <c r="N37" s="20" t="s">
        <v>29</v>
      </c>
      <c r="S37" s="23" t="s">
        <v>162</v>
      </c>
      <c r="X37" s="20" t="s">
        <v>29</v>
      </c>
      <c r="Y37" s="20" t="s">
        <v>29</v>
      </c>
      <c r="Z37" s="20" t="s">
        <v>103</v>
      </c>
      <c r="AA37" s="23" t="s">
        <v>163</v>
      </c>
      <c r="AE37" s="20" t="s">
        <v>29</v>
      </c>
      <c r="AH37" s="20" t="s">
        <v>29</v>
      </c>
      <c r="AI37" s="23" t="s">
        <v>164</v>
      </c>
      <c r="AJ37" s="20" t="s">
        <v>199</v>
      </c>
      <c r="AK37" s="20" t="s">
        <v>199</v>
      </c>
      <c r="AL37" s="20" t="s">
        <v>199</v>
      </c>
      <c r="AM37" s="20" t="s">
        <v>199</v>
      </c>
      <c r="AN37" s="20" t="s">
        <v>199</v>
      </c>
      <c r="AO37" s="20" t="s">
        <v>199</v>
      </c>
      <c r="AP37" s="20" t="s">
        <v>199</v>
      </c>
      <c r="AQ37" s="23" t="s">
        <v>165</v>
      </c>
      <c r="AR37" s="20" t="s">
        <v>199</v>
      </c>
      <c r="AS37" s="20" t="s">
        <v>199</v>
      </c>
      <c r="AT37" s="20" t="s">
        <v>199</v>
      </c>
      <c r="AU37" s="20" t="s">
        <v>199</v>
      </c>
      <c r="AV37" s="20" t="s">
        <v>199</v>
      </c>
      <c r="AW37" s="23" t="s">
        <v>166</v>
      </c>
      <c r="AX37" s="20" t="s">
        <v>199</v>
      </c>
      <c r="AY37" s="20" t="s">
        <v>199</v>
      </c>
      <c r="AZ37" s="20" t="s">
        <v>199</v>
      </c>
      <c r="BA37" s="20" t="s">
        <v>199</v>
      </c>
      <c r="BB37" s="20" t="s">
        <v>199</v>
      </c>
      <c r="BC37" s="20" t="s">
        <v>199</v>
      </c>
      <c r="BD37" s="20" t="s">
        <v>199</v>
      </c>
      <c r="BE37" s="23" t="s">
        <v>167</v>
      </c>
      <c r="BF37" s="20" t="s">
        <v>199</v>
      </c>
      <c r="BG37" s="20" t="s">
        <v>199</v>
      </c>
      <c r="BH37" s="20" t="s">
        <v>199</v>
      </c>
      <c r="BI37" s="20" t="s">
        <v>199</v>
      </c>
      <c r="BJ37" s="20" t="s">
        <v>199</v>
      </c>
      <c r="BK37" s="20" t="s">
        <v>199</v>
      </c>
      <c r="BL37" s="20" t="s">
        <v>199</v>
      </c>
      <c r="BM37" s="23" t="s">
        <v>168</v>
      </c>
      <c r="BN37" s="20" t="s">
        <v>199</v>
      </c>
      <c r="BO37" s="20" t="s">
        <v>199</v>
      </c>
      <c r="BP37" s="20" t="s">
        <v>199</v>
      </c>
      <c r="BQ37" s="20" t="s">
        <v>199</v>
      </c>
      <c r="BR37" s="20" t="s">
        <v>199</v>
      </c>
      <c r="BS37" s="20" t="s">
        <v>199</v>
      </c>
      <c r="BT37" s="20" t="s">
        <v>199</v>
      </c>
      <c r="BU37" s="20" t="s">
        <v>199</v>
      </c>
      <c r="BV37" s="23" t="s">
        <v>169</v>
      </c>
      <c r="BW37" s="20" t="s">
        <v>199</v>
      </c>
      <c r="BX37" s="20" t="s">
        <v>199</v>
      </c>
      <c r="BY37" s="20" t="s">
        <v>199</v>
      </c>
      <c r="BZ37" s="20" t="s">
        <v>199</v>
      </c>
      <c r="CA37" s="20" t="s">
        <v>199</v>
      </c>
      <c r="CB37" s="20" t="s">
        <v>199</v>
      </c>
      <c r="CC37" s="20" t="s">
        <v>199</v>
      </c>
      <c r="CD37" s="19" t="s">
        <v>170</v>
      </c>
    </row>
    <row r="38" spans="1:82" x14ac:dyDescent="0.55000000000000004">
      <c r="A38" s="29" t="s">
        <v>122</v>
      </c>
      <c r="B38" s="26" t="s">
        <v>159</v>
      </c>
      <c r="C38" s="21">
        <v>42237</v>
      </c>
      <c r="D38" s="21">
        <v>44529</v>
      </c>
      <c r="E38" s="20" t="s">
        <v>10</v>
      </c>
      <c r="F38" s="21">
        <v>34835</v>
      </c>
      <c r="G38" s="20" t="str">
        <f t="shared" si="4"/>
        <v>19950516</v>
      </c>
      <c r="H38" s="20" t="s">
        <v>50</v>
      </c>
      <c r="I38" s="22">
        <f t="shared" si="5"/>
        <v>8</v>
      </c>
      <c r="J38" s="20">
        <v>166.5</v>
      </c>
      <c r="K38" s="23" t="s">
        <v>161</v>
      </c>
      <c r="O38" s="20" t="s">
        <v>29</v>
      </c>
      <c r="P38" s="20" t="s">
        <v>29</v>
      </c>
      <c r="S38" s="23" t="s">
        <v>162</v>
      </c>
      <c r="T38" s="20" t="s">
        <v>29</v>
      </c>
      <c r="U38" s="20" t="s">
        <v>29</v>
      </c>
      <c r="Z38" s="20" t="s">
        <v>103</v>
      </c>
      <c r="AA38" s="23" t="s">
        <v>163</v>
      </c>
      <c r="AB38" s="20" t="s">
        <v>14</v>
      </c>
      <c r="AC38" s="20" t="s">
        <v>14</v>
      </c>
      <c r="AD38" s="20" t="s">
        <v>14</v>
      </c>
      <c r="AH38" s="20" t="s">
        <v>14</v>
      </c>
      <c r="AI38" s="23" t="s">
        <v>164</v>
      </c>
      <c r="AJ38" s="20" t="s">
        <v>199</v>
      </c>
      <c r="AK38" s="20" t="s">
        <v>199</v>
      </c>
      <c r="AL38" s="20" t="s">
        <v>199</v>
      </c>
      <c r="AM38" s="20" t="s">
        <v>199</v>
      </c>
      <c r="AN38" s="20" t="s">
        <v>199</v>
      </c>
      <c r="AO38" s="20" t="s">
        <v>199</v>
      </c>
      <c r="AP38" s="20" t="s">
        <v>199</v>
      </c>
      <c r="AQ38" s="23" t="s">
        <v>165</v>
      </c>
      <c r="AR38" s="20" t="s">
        <v>199</v>
      </c>
      <c r="AS38" s="20" t="s">
        <v>199</v>
      </c>
      <c r="AT38" s="20" t="s">
        <v>199</v>
      </c>
      <c r="AU38" s="20" t="s">
        <v>199</v>
      </c>
      <c r="AV38" s="20" t="s">
        <v>199</v>
      </c>
      <c r="AW38" s="23" t="s">
        <v>166</v>
      </c>
      <c r="AX38" s="20" t="s">
        <v>199</v>
      </c>
      <c r="AY38" s="20" t="s">
        <v>199</v>
      </c>
      <c r="AZ38" s="20" t="s">
        <v>199</v>
      </c>
      <c r="BA38" s="20" t="s">
        <v>199</v>
      </c>
      <c r="BB38" s="20" t="s">
        <v>199</v>
      </c>
      <c r="BC38" s="20" t="s">
        <v>199</v>
      </c>
      <c r="BD38" s="20" t="s">
        <v>199</v>
      </c>
      <c r="BE38" s="23" t="s">
        <v>167</v>
      </c>
      <c r="BF38" s="20" t="s">
        <v>199</v>
      </c>
      <c r="BG38" s="20" t="s">
        <v>199</v>
      </c>
      <c r="BH38" s="20" t="s">
        <v>199</v>
      </c>
      <c r="BI38" s="20" t="s">
        <v>199</v>
      </c>
      <c r="BJ38" s="20" t="s">
        <v>199</v>
      </c>
      <c r="BK38" s="20" t="s">
        <v>199</v>
      </c>
      <c r="BL38" s="20" t="s">
        <v>199</v>
      </c>
      <c r="BM38" s="23" t="s">
        <v>168</v>
      </c>
      <c r="BN38" s="20" t="s">
        <v>199</v>
      </c>
      <c r="BO38" s="20" t="s">
        <v>199</v>
      </c>
      <c r="BP38" s="20" t="s">
        <v>199</v>
      </c>
      <c r="BQ38" s="20" t="s">
        <v>199</v>
      </c>
      <c r="BR38" s="20" t="s">
        <v>199</v>
      </c>
      <c r="BS38" s="20" t="s">
        <v>199</v>
      </c>
      <c r="BT38" s="20" t="s">
        <v>199</v>
      </c>
      <c r="BU38" s="20" t="s">
        <v>199</v>
      </c>
      <c r="BV38" s="23" t="s">
        <v>169</v>
      </c>
      <c r="BW38" s="20" t="s">
        <v>199</v>
      </c>
      <c r="BX38" s="20" t="s">
        <v>199</v>
      </c>
      <c r="BY38" s="20" t="s">
        <v>199</v>
      </c>
      <c r="BZ38" s="20" t="s">
        <v>199</v>
      </c>
      <c r="CA38" s="20" t="s">
        <v>199</v>
      </c>
      <c r="CB38" s="20" t="s">
        <v>199</v>
      </c>
      <c r="CC38" s="20" t="s">
        <v>199</v>
      </c>
      <c r="CD38" s="19" t="s">
        <v>170</v>
      </c>
    </row>
    <row r="39" spans="1:82" x14ac:dyDescent="0.55000000000000004">
      <c r="A39" s="29" t="s">
        <v>123</v>
      </c>
      <c r="B39" s="26" t="s">
        <v>160</v>
      </c>
      <c r="C39" s="21">
        <v>43433</v>
      </c>
      <c r="D39" s="21">
        <v>44269</v>
      </c>
      <c r="E39" s="20" t="s">
        <v>18</v>
      </c>
      <c r="F39" s="21">
        <v>35920</v>
      </c>
      <c r="G39" s="20" t="str">
        <f t="shared" si="4"/>
        <v>19980505</v>
      </c>
      <c r="H39" s="20" t="s">
        <v>16</v>
      </c>
      <c r="I39" s="22">
        <f t="shared" si="5"/>
        <v>13</v>
      </c>
      <c r="J39" s="20">
        <v>169</v>
      </c>
      <c r="K39" s="23" t="s">
        <v>161</v>
      </c>
      <c r="Q39" s="20" t="s">
        <v>29</v>
      </c>
      <c r="R39" s="20" t="s">
        <v>29</v>
      </c>
      <c r="S39" s="23" t="s">
        <v>162</v>
      </c>
      <c r="T39" s="20" t="s">
        <v>199</v>
      </c>
      <c r="U39" s="20" t="s">
        <v>199</v>
      </c>
      <c r="V39" s="20" t="s">
        <v>199</v>
      </c>
      <c r="W39" s="20" t="s">
        <v>199</v>
      </c>
      <c r="X39" s="20" t="s">
        <v>199</v>
      </c>
      <c r="Y39" s="20" t="s">
        <v>199</v>
      </c>
      <c r="Z39" s="20" t="s">
        <v>199</v>
      </c>
      <c r="AA39" s="23" t="s">
        <v>163</v>
      </c>
      <c r="AB39" s="20" t="s">
        <v>199</v>
      </c>
      <c r="AC39" s="20" t="s">
        <v>199</v>
      </c>
      <c r="AD39" s="20" t="s">
        <v>199</v>
      </c>
      <c r="AE39" s="20" t="s">
        <v>199</v>
      </c>
      <c r="AF39" s="20" t="s">
        <v>199</v>
      </c>
      <c r="AG39" s="20" t="s">
        <v>199</v>
      </c>
      <c r="AH39" s="20" t="s">
        <v>199</v>
      </c>
      <c r="AI39" s="23" t="s">
        <v>164</v>
      </c>
      <c r="AJ39" s="20" t="s">
        <v>199</v>
      </c>
      <c r="AK39" s="20" t="s">
        <v>199</v>
      </c>
      <c r="AL39" s="20" t="s">
        <v>199</v>
      </c>
      <c r="AM39" s="20" t="s">
        <v>199</v>
      </c>
      <c r="AN39" s="20" t="s">
        <v>199</v>
      </c>
      <c r="AO39" s="20" t="s">
        <v>199</v>
      </c>
      <c r="AP39" s="20" t="s">
        <v>199</v>
      </c>
      <c r="AQ39" s="23" t="s">
        <v>165</v>
      </c>
      <c r="AR39" s="20" t="s">
        <v>199</v>
      </c>
      <c r="AS39" s="20" t="s">
        <v>199</v>
      </c>
      <c r="AT39" s="20" t="s">
        <v>199</v>
      </c>
      <c r="AU39" s="20" t="s">
        <v>199</v>
      </c>
      <c r="AV39" s="20" t="s">
        <v>199</v>
      </c>
      <c r="AW39" s="23" t="s">
        <v>166</v>
      </c>
      <c r="AX39" s="20" t="s">
        <v>199</v>
      </c>
      <c r="AY39" s="20" t="s">
        <v>199</v>
      </c>
      <c r="AZ39" s="20" t="s">
        <v>199</v>
      </c>
      <c r="BA39" s="20" t="s">
        <v>199</v>
      </c>
      <c r="BB39" s="20" t="s">
        <v>199</v>
      </c>
      <c r="BC39" s="20" t="s">
        <v>199</v>
      </c>
      <c r="BD39" s="20" t="s">
        <v>199</v>
      </c>
      <c r="BE39" s="23" t="s">
        <v>167</v>
      </c>
      <c r="BF39" s="20" t="s">
        <v>199</v>
      </c>
      <c r="BG39" s="20" t="s">
        <v>199</v>
      </c>
      <c r="BH39" s="20" t="s">
        <v>199</v>
      </c>
      <c r="BI39" s="20" t="s">
        <v>199</v>
      </c>
      <c r="BJ39" s="20" t="s">
        <v>199</v>
      </c>
      <c r="BK39" s="20" t="s">
        <v>199</v>
      </c>
      <c r="BL39" s="20" t="s">
        <v>199</v>
      </c>
      <c r="BM39" s="23" t="s">
        <v>168</v>
      </c>
      <c r="BN39" s="20" t="s">
        <v>199</v>
      </c>
      <c r="BO39" s="20" t="s">
        <v>199</v>
      </c>
      <c r="BP39" s="20" t="s">
        <v>199</v>
      </c>
      <c r="BQ39" s="20" t="s">
        <v>199</v>
      </c>
      <c r="BR39" s="20" t="s">
        <v>199</v>
      </c>
      <c r="BS39" s="20" t="s">
        <v>199</v>
      </c>
      <c r="BT39" s="20" t="s">
        <v>199</v>
      </c>
      <c r="BU39" s="20" t="s">
        <v>199</v>
      </c>
      <c r="BV39" s="23" t="s">
        <v>169</v>
      </c>
      <c r="BW39" s="20" t="s">
        <v>199</v>
      </c>
      <c r="BX39" s="20" t="s">
        <v>199</v>
      </c>
      <c r="BY39" s="20" t="s">
        <v>199</v>
      </c>
      <c r="BZ39" s="20" t="s">
        <v>199</v>
      </c>
      <c r="CA39" s="20" t="s">
        <v>199</v>
      </c>
      <c r="CB39" s="20" t="s">
        <v>199</v>
      </c>
      <c r="CC39" s="20" t="s">
        <v>199</v>
      </c>
      <c r="CD39" s="19" t="s">
        <v>170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Data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AndUpdateMember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6072-914E-464F-A31A-D76355EBB5D9}">
  <sheetPr codeName="Sheet3"/>
  <dimension ref="A1:AU16"/>
  <sheetViews>
    <sheetView tabSelected="1" workbookViewId="0">
      <selection activeCell="A5" sqref="A5"/>
    </sheetView>
  </sheetViews>
  <sheetFormatPr defaultRowHeight="18.5" x14ac:dyDescent="0.55000000000000004"/>
  <cols>
    <col min="1" max="1" width="52.75" style="6" bestFit="1" customWidth="1"/>
    <col min="2" max="2" width="52.75" style="32" hidden="1" customWidth="1"/>
    <col min="3" max="3" width="13.6640625" style="32" customWidth="1"/>
    <col min="4" max="4" width="9.83203125" style="5" bestFit="1" customWidth="1"/>
    <col min="5" max="5" width="18.6640625" style="1" customWidth="1"/>
    <col min="6" max="6" width="23.83203125" style="1" hidden="1" customWidth="1"/>
    <col min="7" max="7" width="25.5" style="1" customWidth="1"/>
    <col min="8" max="8" width="37" style="1" hidden="1" customWidth="1"/>
    <col min="9" max="9" width="6.6640625" style="1" bestFit="1" customWidth="1"/>
    <col min="10" max="10" width="16.9140625" style="1" customWidth="1"/>
    <col min="11" max="11" width="8.6640625" style="1"/>
    <col min="12" max="12" width="10.9140625" style="1" bestFit="1" customWidth="1"/>
    <col min="13" max="15" width="9" style="1" bestFit="1" customWidth="1"/>
    <col min="16" max="16" width="7.1640625" style="1" bestFit="1" customWidth="1"/>
    <col min="17" max="17" width="9" style="1" bestFit="1" customWidth="1"/>
    <col min="18" max="18" width="10.9140625" style="1" bestFit="1" customWidth="1"/>
    <col min="19" max="23" width="9" style="1" bestFit="1" customWidth="1"/>
    <col min="24" max="24" width="10.9140625" style="1" bestFit="1" customWidth="1"/>
    <col min="25" max="25" width="9" style="1" bestFit="1" customWidth="1"/>
    <col min="26" max="26" width="7.1640625" style="1" bestFit="1" customWidth="1"/>
    <col min="27" max="28" width="9" style="1" bestFit="1" customWidth="1"/>
    <col min="29" max="29" width="10.9140625" style="1" bestFit="1" customWidth="1"/>
    <col min="30" max="34" width="9" style="1" bestFit="1" customWidth="1"/>
    <col min="35" max="35" width="7.1640625" style="1" bestFit="1" customWidth="1"/>
    <col min="36" max="42" width="9" style="1" bestFit="1" customWidth="1"/>
    <col min="43" max="43" width="7.1640625" style="1" bestFit="1" customWidth="1"/>
    <col min="44" max="44" width="9" style="1" bestFit="1" customWidth="1"/>
    <col min="45" max="45" width="7.1640625" style="1" bestFit="1" customWidth="1"/>
    <col min="46" max="47" width="9" style="1" bestFit="1" customWidth="1"/>
    <col min="48" max="16384" width="8.6640625" style="1"/>
  </cols>
  <sheetData>
    <row r="1" spans="1:47" s="3" customFormat="1" x14ac:dyDescent="0.55000000000000004">
      <c r="A1" s="10" t="s">
        <v>171</v>
      </c>
      <c r="B1" s="30" t="s">
        <v>206</v>
      </c>
      <c r="C1" s="30" t="s">
        <v>220</v>
      </c>
      <c r="D1" s="11" t="s">
        <v>173</v>
      </c>
      <c r="E1" s="3" t="s">
        <v>172</v>
      </c>
      <c r="F1" s="3" t="s">
        <v>207</v>
      </c>
      <c r="G1" s="3" t="s">
        <v>175</v>
      </c>
      <c r="H1" s="3" t="s">
        <v>208</v>
      </c>
      <c r="I1" s="3" t="s">
        <v>174</v>
      </c>
      <c r="J1" s="3" t="s">
        <v>203</v>
      </c>
      <c r="K1" s="3" t="s">
        <v>12</v>
      </c>
      <c r="L1" s="3" t="s">
        <v>15</v>
      </c>
      <c r="M1" s="3" t="s">
        <v>9</v>
      </c>
      <c r="N1" s="3" t="s">
        <v>17</v>
      </c>
      <c r="O1" s="3" t="s">
        <v>19</v>
      </c>
      <c r="P1" s="3" t="s">
        <v>21</v>
      </c>
      <c r="Q1" s="3" t="s">
        <v>23</v>
      </c>
      <c r="R1" s="3" t="s">
        <v>25</v>
      </c>
      <c r="S1" s="3" t="s">
        <v>27</v>
      </c>
      <c r="T1" s="3" t="s">
        <v>30</v>
      </c>
      <c r="U1" s="3" t="s">
        <v>32</v>
      </c>
      <c r="V1" s="3" t="s">
        <v>33</v>
      </c>
      <c r="W1" s="3" t="s">
        <v>34</v>
      </c>
      <c r="X1" s="3" t="s">
        <v>36</v>
      </c>
      <c r="Y1" s="3" t="s">
        <v>39</v>
      </c>
      <c r="Z1" s="3" t="s">
        <v>104</v>
      </c>
      <c r="AA1" s="3" t="s">
        <v>40</v>
      </c>
      <c r="AB1" s="3" t="s">
        <v>43</v>
      </c>
      <c r="AC1" s="3" t="s">
        <v>105</v>
      </c>
      <c r="AD1" s="3" t="s">
        <v>106</v>
      </c>
      <c r="AE1" s="3" t="s">
        <v>107</v>
      </c>
      <c r="AF1" s="3" t="s">
        <v>108</v>
      </c>
      <c r="AG1" s="3" t="s">
        <v>109</v>
      </c>
      <c r="AH1" s="3" t="s">
        <v>110</v>
      </c>
      <c r="AI1" s="3" t="s">
        <v>111</v>
      </c>
      <c r="AJ1" s="3" t="s">
        <v>112</v>
      </c>
      <c r="AK1" s="3" t="s">
        <v>113</v>
      </c>
      <c r="AL1" s="3" t="s">
        <v>114</v>
      </c>
      <c r="AM1" s="3" t="s">
        <v>115</v>
      </c>
      <c r="AN1" s="3" t="s">
        <v>116</v>
      </c>
      <c r="AO1" s="3" t="s">
        <v>117</v>
      </c>
      <c r="AP1" s="3" t="s">
        <v>118</v>
      </c>
      <c r="AQ1" s="3" t="s">
        <v>119</v>
      </c>
      <c r="AR1" s="3" t="s">
        <v>120</v>
      </c>
      <c r="AS1" s="3" t="s">
        <v>121</v>
      </c>
      <c r="AT1" s="3" t="s">
        <v>122</v>
      </c>
      <c r="AU1" s="3" t="s">
        <v>123</v>
      </c>
    </row>
    <row r="2" spans="1:47" s="2" customFormat="1" x14ac:dyDescent="0.55000000000000004">
      <c r="A2" s="12" t="str">
        <f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イベント名</v>
      </c>
      <c r="B2" s="31" t="str">
        <f>SUBSTITUTE(SUBSTITUTE(SUBSTITUTE(SUBSTITUTE(SUBSTITUTE(SUBSTITUTE(SUBSTITUTE(SUBSTITUTE(SUBSTITUTE(SUBSTITUTE(SUBSTITUTE(SUBSTITUTE(SUBSTITUTE(SUBSTITUTE(SUBSTITUTE(SUBSTITUTE(SUBSTITUTE(SUBSTITUTE(B1, " ", "_"), "　", "_"), "'", ""), """", ""), "!", ""), "@", ""), "#", ""), "?", ""), "！", ""), "？", ""), "$", ""), "%", ""), "^", ""), "&amp;", ""), "*", ""), "(", ""), ")", ""), "・", "")</f>
        <v>イベントのフォルダ名</v>
      </c>
      <c r="C2" s="13" t="str">
        <f>SUBSTITUTE(SUBSTITUTE(SUBSTITUTE(SUBSTITUTE(SUBSTITUTE(SUBSTITUTE(SUBSTITUTE(SUBSTITUTE(SUBSTITUTE(SUBSTITUTE(SUBSTITUTE(SUBSTITUTE(SUBSTITUTE(SUBSTITUTE(SUBSTITUTE(SUBSTITUTE(SUBSTITUTE(SUBSTITUTE(C1, " ", "_"), "　", "_"), "'", ""), """", ""), "!", ""), "@", ""), "#", ""), "?", ""), "！", ""), "？", ""), "$", ""), "%", ""), "^", ""), "&amp;", ""), "*", ""), "(", ""), ")", ""), "・", "")</f>
        <v>イベント開始日</v>
      </c>
      <c r="D2" s="13" t="str">
        <f>SUBSTITUTE(SUBSTITUTE(SUBSTITUTE(SUBSTITUTE(SUBSTITUTE(SUBSTITUTE(SUBSTITUTE(SUBSTITUTE(SUBSTITUTE(SUBSTITUTE(SUBSTITUTE(SUBSTITUTE(SUBSTITUTE(SUBSTITUTE(SUBSTITUTE(SUBSTITUTE(SUBSTITUTE(SUBSTITUTE(D1, " ", "_"), "　", "_"), "'", ""), """", ""), "!", ""), "@", ""), "#", ""), "?", ""), "！", ""), "？", ""), "$", ""), "%", ""), "^", ""), "&amp;", ""), "*", ""), "(", ""), ")", ""), "・", "")</f>
        <v>撮影日</v>
      </c>
      <c r="E2" s="9" t="str">
        <f t="shared" ref="E2:H2" si="0">SUBSTITUTE(SUBSTITUTE(SUBSTITUTE(SUBSTITUTE(SUBSTITUTE(SUBSTITUTE(SUBSTITUTE(SUBSTITUTE(SUBSTITUTE(SUBSTITUTE(SUBSTITUTE(SUBSTITUTE(SUBSTITUTE(SUBSTITUTE(SUBSTITUTE(SUBSTITUTE(SUBSTITUTE(SUBSTITUTE(E1, " ", "_"), "　", "_"), "'", ""), """", ""), "!", ""), "@", ""), "#", ""), "?", ""), "！", ""), "？", ""), "$", ""), "%", ""), "^", ""), "&amp;", ""), "*", ""), "(", ""), ")", ""), "・", "")</f>
        <v>サブグループ</v>
      </c>
      <c r="F2" s="9" t="str">
        <f t="shared" si="0"/>
        <v>サブグループのフォルダ名</v>
      </c>
      <c r="G2" s="9" t="str">
        <f t="shared" si="0"/>
        <v>ファイル名[枚数]</v>
      </c>
      <c r="H2" s="9" t="str">
        <f t="shared" si="0"/>
        <v>ファイル名</v>
      </c>
      <c r="I2" s="9" t="str">
        <f t="shared" ref="I2" si="1">SUBSTITUTE(SUBSTITUTE(SUBSTITUTE(SUBSTITUTE(SUBSTITUTE(SUBSTITUTE(SUBSTITUTE(SUBSTITUTE(SUBSTITUTE(SUBSTITUTE(SUBSTITUTE(SUBSTITUTE(SUBSTITUTE(SUBSTITUTE(SUBSTITUTE(SUBSTITUTE(SUBSTITUTE(SUBSTITUTE(I1, " ", "_"), "　", "_"), "'", ""), """", ""), "!", ""), "@", ""), "#", ""), "?", ""), "！", ""), "？", ""), "$", ""), "%", ""), "^", ""), "&amp;", ""), "*", ""), "(", ""), ")", ""), "・", "")</f>
        <v>拡張子</v>
      </c>
      <c r="J2" s="9" t="str">
        <f t="shared" ref="J2:K2" si="2">SUBSTITUTE(SUBSTITUTE(SUBSTITUTE(SUBSTITUTE(SUBSTITUTE(SUBSTITUTE(SUBSTITUTE(SUBSTITUTE(SUBSTITUTE(SUBSTITUTE(SUBSTITUTE(SUBSTITUTE(SUBSTITUTE(SUBSTITUTE(SUBSTITUTE(SUBSTITUTE(SUBSTITUTE(SUBSTITUTE(J1, " ", "_"), "　", "_"), "'", ""), """", ""), "!", ""), "@", ""), "#", ""), "?", ""), "！", ""), "？", ""), "$", ""), "%", ""), "^", ""), "&amp;", ""), "*", ""), "(", ""), ")", ""), "・", "")</f>
        <v>最新更新</v>
      </c>
      <c r="K2" s="9" t="str">
        <f t="shared" si="2"/>
        <v>小池_美波</v>
      </c>
      <c r="L2" s="9" t="str">
        <f t="shared" ref="L2:AJ2" si="3">SUBSTITUTE(SUBSTITUTE(SUBSTITUTE(SUBSTITUTE(SUBSTITUTE(SUBSTITUTE(SUBSTITUTE(SUBSTITUTE(SUBSTITUTE(SUBSTITUTE(SUBSTITUTE(SUBSTITUTE(SUBSTITUTE(SUBSTITUTE(SUBSTITUTE(SUBSTITUTE(SUBSTITUTE(SUBSTITUTE(L1, " ", "_"), "　", "_"), "'", ""), """", ""), "!", ""), "@", ""), "#", ""), "?", ""), "！", ""), "？", ""), "$", ""), "%", ""), "^", ""), "&amp;", ""), "*", ""), "(", ""), ")", ""), "・", "")</f>
        <v>齋藤_冬優花</v>
      </c>
      <c r="M2" s="9" t="str">
        <f>SUBSTITUTE(SUBSTITUTE(SUBSTITUTE(SUBSTITUTE(SUBSTITUTE(SUBSTITUTE(SUBSTITUTE(SUBSTITUTE(SUBSTITUTE(SUBSTITUTE(SUBSTITUTE(SUBSTITUTE(SUBSTITUTE(SUBSTITUTE(SUBSTITUTE(SUBSTITUTE(SUBSTITUTE(SUBSTITUTE(M1, " ", "_"), "　", "_"), "'", ""), """", ""), "!", ""), "@", ""), "#", ""), "?", ""), "！", ""), "？", ""), "$", ""), "%", ""), "^", ""), "&amp;", ""), "*", ""), "(", ""), ")", ""), "・", "")</f>
        <v>上村_莉菜</v>
      </c>
      <c r="N2" s="9" t="str">
        <f t="shared" si="3"/>
        <v>井上_梨名</v>
      </c>
      <c r="O2" s="9" t="str">
        <f t="shared" si="3"/>
        <v>遠藤_光莉</v>
      </c>
      <c r="P2" s="9" t="str">
        <f t="shared" si="3"/>
        <v>大園_玲</v>
      </c>
      <c r="Q2" s="9" t="str">
        <f t="shared" si="3"/>
        <v>大沼_晶保</v>
      </c>
      <c r="R2" s="9" t="str">
        <f t="shared" si="3"/>
        <v>幸阪_茉里乃</v>
      </c>
      <c r="S2" s="9" t="str">
        <f t="shared" si="3"/>
        <v>武元_唯衣</v>
      </c>
      <c r="T2" s="9" t="str">
        <f t="shared" si="3"/>
        <v>田村_保乃</v>
      </c>
      <c r="U2" s="9" t="str">
        <f t="shared" si="3"/>
        <v>藤吉_夏鈴</v>
      </c>
      <c r="V2" s="9" t="str">
        <f t="shared" si="3"/>
        <v>増本_綺良</v>
      </c>
      <c r="W2" s="9" t="str">
        <f t="shared" si="3"/>
        <v>松田_里奈</v>
      </c>
      <c r="X2" s="9" t="str">
        <f t="shared" si="3"/>
        <v>森田_ひかる</v>
      </c>
      <c r="Y2" s="9" t="str">
        <f t="shared" si="3"/>
        <v>守屋_麗奈</v>
      </c>
      <c r="Z2" s="9" t="str">
        <f t="shared" si="3"/>
        <v>山﨑_天</v>
      </c>
      <c r="AA2" s="9" t="str">
        <f t="shared" si="3"/>
        <v>石森_璃花</v>
      </c>
      <c r="AB2" s="9" t="str">
        <f t="shared" si="3"/>
        <v>遠藤_理子</v>
      </c>
      <c r="AC2" s="9" t="str">
        <f t="shared" si="3"/>
        <v>小田倉_麗奈</v>
      </c>
      <c r="AD2" s="9" t="str">
        <f t="shared" si="3"/>
        <v>小島_凪紗</v>
      </c>
      <c r="AE2" s="9" t="str">
        <f t="shared" si="3"/>
        <v>谷口_愛季</v>
      </c>
      <c r="AF2" s="9" t="str">
        <f t="shared" si="3"/>
        <v>中嶋_優月</v>
      </c>
      <c r="AG2" s="9" t="str">
        <f t="shared" si="3"/>
        <v>的野_美青</v>
      </c>
      <c r="AH2" s="9" t="str">
        <f t="shared" si="3"/>
        <v>向井_純葉</v>
      </c>
      <c r="AI2" s="9" t="str">
        <f t="shared" si="3"/>
        <v>村井_優</v>
      </c>
      <c r="AJ2" s="9" t="str">
        <f t="shared" si="3"/>
        <v>村山_美羽</v>
      </c>
      <c r="AK2" s="9" t="str">
        <f t="shared" ref="AK2" si="4">SUBSTITUTE(SUBSTITUTE(SUBSTITUTE(SUBSTITUTE(SUBSTITUTE(SUBSTITUTE(SUBSTITUTE(SUBSTITUTE(SUBSTITUTE(SUBSTITUTE(SUBSTITUTE(SUBSTITUTE(SUBSTITUTE(SUBSTITUTE(SUBSTITUTE(SUBSTITUTE(SUBSTITUTE(SUBSTITUTE(AK1, " ", "_"), "　", "_"), "'", ""), """", ""), "!", ""), "@", ""), "#", ""), "?", ""), "！", ""), "？", ""), "$", ""), "%", ""), "^", ""), "&amp;", ""), "*", ""), "(", ""), ")", ""), "・", "")</f>
        <v>山下_瞳月</v>
      </c>
      <c r="AL2" s="9" t="str">
        <f t="shared" ref="AL2:AT2" si="5">SUBSTITUTE(SUBSTITUTE(SUBSTITUTE(SUBSTITUTE(SUBSTITUTE(SUBSTITUTE(SUBSTITUTE(SUBSTITUTE(SUBSTITUTE(SUBSTITUTE(SUBSTITUTE(SUBSTITUTE(SUBSTITUTE(SUBSTITUTE(SUBSTITUTE(SUBSTITUTE(SUBSTITUTE(SUBSTITUTE(AL1, " ", "_"), "　", "_"), "'", ""), """", ""), "!", ""), "@", ""), "#", ""), "?", ""), "！", ""), "？", ""), "$", ""), "%", ""), "^", ""), "&amp;", ""), "*", ""), "(", ""), ")", ""), "・", "")</f>
        <v>小林_由依</v>
      </c>
      <c r="AM2" s="9" t="str">
        <f t="shared" si="5"/>
        <v>土生_瑞穂</v>
      </c>
      <c r="AN2" s="9" t="str">
        <f t="shared" si="5"/>
        <v>関_有美子</v>
      </c>
      <c r="AO2" s="9" t="str">
        <f t="shared" si="5"/>
        <v>菅井_友香</v>
      </c>
      <c r="AP2" s="9" t="str">
        <f t="shared" si="5"/>
        <v>尾関_梨香</v>
      </c>
      <c r="AQ2" s="9" t="str">
        <f t="shared" si="5"/>
        <v>原田_葵</v>
      </c>
      <c r="AR2" s="9" t="str">
        <f t="shared" si="5"/>
        <v>渡邉_理佐</v>
      </c>
      <c r="AS2" s="9" t="str">
        <f t="shared" si="5"/>
        <v>守屋_茜</v>
      </c>
      <c r="AT2" s="9" t="str">
        <f t="shared" si="5"/>
        <v>渡辺_梨加</v>
      </c>
      <c r="AU2" s="9" t="str">
        <f t="shared" ref="AU2" si="6">SUBSTITUTE(SUBSTITUTE(SUBSTITUTE(SUBSTITUTE(SUBSTITUTE(SUBSTITUTE(SUBSTITUTE(SUBSTITUTE(SUBSTITUTE(SUBSTITUTE(SUBSTITUTE(SUBSTITUTE(SUBSTITUTE(SUBSTITUTE(SUBSTITUTE(SUBSTITUTE(SUBSTITUTE(SUBSTITUTE(AU1, " ", "_"), "　", "_"), "'", ""), """", ""), "!", ""), "@", ""), "#", ""), "?", ""), "！", ""), "？", ""), "$", ""), "%", ""), "^", ""), "&amp;", ""), "*", ""), "(", ""), ")", ""), "・", "")</f>
        <v>松平_璃子</v>
      </c>
    </row>
    <row r="3" spans="1:47" x14ac:dyDescent="0.55000000000000004">
      <c r="A3" s="6" t="s">
        <v>210</v>
      </c>
      <c r="B3" s="32" t="s">
        <v>211</v>
      </c>
      <c r="C3" s="34">
        <v>45587</v>
      </c>
      <c r="D3" s="4">
        <v>45591</v>
      </c>
      <c r="E3" s="1" t="s">
        <v>205</v>
      </c>
      <c r="F3" s="1" t="s">
        <v>209</v>
      </c>
      <c r="G3" s="1" t="s">
        <v>212</v>
      </c>
      <c r="H3" s="1" t="s">
        <v>213</v>
      </c>
      <c r="I3" s="1" t="s">
        <v>221</v>
      </c>
      <c r="J3" s="33">
        <v>45734.795162037037</v>
      </c>
      <c r="P3" s="1" t="s">
        <v>198</v>
      </c>
      <c r="S3" s="1" t="s">
        <v>198</v>
      </c>
      <c r="T3" s="1" t="s">
        <v>198</v>
      </c>
      <c r="U3" s="1" t="s">
        <v>198</v>
      </c>
      <c r="W3" s="1" t="s">
        <v>198</v>
      </c>
      <c r="X3" s="1" t="s">
        <v>198</v>
      </c>
      <c r="Y3" s="1" t="s">
        <v>198</v>
      </c>
      <c r="Z3" s="1" t="s">
        <v>198</v>
      </c>
      <c r="AE3" s="1" t="s">
        <v>198</v>
      </c>
      <c r="AF3" s="1" t="s">
        <v>198</v>
      </c>
      <c r="AG3" s="1" t="s">
        <v>198</v>
      </c>
      <c r="AH3" s="1" t="s">
        <v>198</v>
      </c>
      <c r="AJ3" s="1" t="s">
        <v>198</v>
      </c>
      <c r="AK3" s="1" t="s">
        <v>198</v>
      </c>
    </row>
    <row r="4" spans="1:47" x14ac:dyDescent="0.55000000000000004">
      <c r="A4" s="6" t="s">
        <v>210</v>
      </c>
      <c r="B4" s="32" t="s">
        <v>211</v>
      </c>
      <c r="C4" s="34">
        <v>45587</v>
      </c>
      <c r="D4" s="4">
        <v>45591</v>
      </c>
      <c r="E4" s="1" t="s">
        <v>205</v>
      </c>
      <c r="F4" s="1" t="s">
        <v>209</v>
      </c>
      <c r="G4" s="1" t="s">
        <v>214</v>
      </c>
      <c r="H4" s="1" t="s">
        <v>215</v>
      </c>
      <c r="I4" s="1" t="s">
        <v>221</v>
      </c>
      <c r="J4" s="33">
        <v>45734.795162037037</v>
      </c>
      <c r="K4" s="1" t="s">
        <v>198</v>
      </c>
      <c r="L4" s="1" t="s">
        <v>198</v>
      </c>
      <c r="M4" s="1" t="s">
        <v>198</v>
      </c>
      <c r="N4" s="1" t="s">
        <v>198</v>
      </c>
      <c r="O4" s="1" t="s">
        <v>198</v>
      </c>
      <c r="Q4" s="1" t="s">
        <v>198</v>
      </c>
      <c r="R4" s="1" t="s">
        <v>198</v>
      </c>
      <c r="V4" s="1" t="s">
        <v>198</v>
      </c>
      <c r="AA4" s="1" t="s">
        <v>198</v>
      </c>
      <c r="AB4" s="1" t="s">
        <v>198</v>
      </c>
      <c r="AD4" s="1" t="s">
        <v>198</v>
      </c>
      <c r="AI4" s="1" t="s">
        <v>198</v>
      </c>
    </row>
    <row r="5" spans="1:47" x14ac:dyDescent="0.55000000000000004">
      <c r="A5" s="6" t="s">
        <v>210</v>
      </c>
      <c r="B5" s="32" t="s">
        <v>211</v>
      </c>
      <c r="C5" s="34">
        <v>45587</v>
      </c>
      <c r="D5" s="4">
        <v>45591</v>
      </c>
      <c r="E5" s="1" t="s">
        <v>205</v>
      </c>
      <c r="F5" s="1" t="s">
        <v>209</v>
      </c>
      <c r="G5" s="1" t="s">
        <v>216</v>
      </c>
      <c r="H5" s="1" t="s">
        <v>217</v>
      </c>
      <c r="I5" s="1" t="s">
        <v>221</v>
      </c>
      <c r="J5" s="33">
        <v>45734.795162037037</v>
      </c>
      <c r="K5" s="1" t="s">
        <v>198</v>
      </c>
      <c r="L5" s="1" t="s">
        <v>198</v>
      </c>
      <c r="M5" s="1" t="s">
        <v>198</v>
      </c>
      <c r="N5" s="1" t="s">
        <v>198</v>
      </c>
      <c r="O5" s="1" t="s">
        <v>198</v>
      </c>
      <c r="P5" s="1" t="s">
        <v>198</v>
      </c>
      <c r="Q5" s="1" t="s">
        <v>198</v>
      </c>
      <c r="R5" s="1" t="s">
        <v>198</v>
      </c>
      <c r="S5" s="1" t="s">
        <v>198</v>
      </c>
      <c r="T5" s="1" t="s">
        <v>198</v>
      </c>
      <c r="U5" s="1" t="s">
        <v>198</v>
      </c>
      <c r="V5" s="1" t="s">
        <v>198</v>
      </c>
      <c r="W5" s="1" t="s">
        <v>198</v>
      </c>
      <c r="X5" s="1" t="s">
        <v>198</v>
      </c>
      <c r="Y5" s="1" t="s">
        <v>198</v>
      </c>
      <c r="Z5" s="1" t="s">
        <v>198</v>
      </c>
      <c r="AA5" s="1" t="s">
        <v>198</v>
      </c>
      <c r="AB5" s="1" t="s">
        <v>198</v>
      </c>
      <c r="AC5" s="1" t="s">
        <v>198</v>
      </c>
      <c r="AD5" s="1" t="s">
        <v>198</v>
      </c>
      <c r="AE5" s="1" t="s">
        <v>198</v>
      </c>
      <c r="AF5" s="1" t="s">
        <v>198</v>
      </c>
      <c r="AG5" s="1" t="s">
        <v>198</v>
      </c>
      <c r="AH5" s="1" t="s">
        <v>198</v>
      </c>
      <c r="AI5" s="1" t="s">
        <v>198</v>
      </c>
      <c r="AJ5" s="1" t="s">
        <v>198</v>
      </c>
      <c r="AK5" s="1" t="s">
        <v>198</v>
      </c>
    </row>
    <row r="6" spans="1:47" x14ac:dyDescent="0.55000000000000004">
      <c r="A6" s="6" t="s">
        <v>210</v>
      </c>
      <c r="B6" s="32" t="s">
        <v>211</v>
      </c>
      <c r="C6" s="34">
        <v>45587</v>
      </c>
      <c r="D6" s="4">
        <v>45591</v>
      </c>
      <c r="E6" s="1" t="s">
        <v>205</v>
      </c>
      <c r="F6" s="1" t="s">
        <v>209</v>
      </c>
      <c r="G6" s="1" t="s">
        <v>218</v>
      </c>
      <c r="H6" s="1" t="s">
        <v>219</v>
      </c>
      <c r="I6" s="1" t="s">
        <v>221</v>
      </c>
      <c r="J6" s="33">
        <v>45734.795162037037</v>
      </c>
      <c r="K6" s="1" t="s">
        <v>198</v>
      </c>
      <c r="L6" s="1" t="s">
        <v>198</v>
      </c>
      <c r="M6" s="1" t="s">
        <v>198</v>
      </c>
      <c r="N6" s="1" t="s">
        <v>198</v>
      </c>
      <c r="O6" s="1" t="s">
        <v>198</v>
      </c>
      <c r="P6" s="1" t="s">
        <v>198</v>
      </c>
      <c r="Q6" s="1" t="s">
        <v>198</v>
      </c>
      <c r="R6" s="1" t="s">
        <v>198</v>
      </c>
      <c r="S6" s="1" t="s">
        <v>198</v>
      </c>
      <c r="T6" s="1" t="s">
        <v>198</v>
      </c>
      <c r="U6" s="1" t="s">
        <v>198</v>
      </c>
      <c r="V6" s="1" t="s">
        <v>198</v>
      </c>
      <c r="W6" s="1" t="s">
        <v>198</v>
      </c>
      <c r="X6" s="1" t="s">
        <v>198</v>
      </c>
      <c r="Y6" s="1" t="s">
        <v>198</v>
      </c>
      <c r="Z6" s="1" t="s">
        <v>198</v>
      </c>
      <c r="AA6" s="1" t="s">
        <v>198</v>
      </c>
      <c r="AB6" s="1" t="s">
        <v>198</v>
      </c>
      <c r="AC6" s="1" t="s">
        <v>198</v>
      </c>
      <c r="AD6" s="1" t="s">
        <v>198</v>
      </c>
      <c r="AE6" s="1" t="s">
        <v>198</v>
      </c>
      <c r="AF6" s="1" t="s">
        <v>198</v>
      </c>
      <c r="AG6" s="1" t="s">
        <v>198</v>
      </c>
      <c r="AH6" s="1" t="s">
        <v>198</v>
      </c>
      <c r="AI6" s="1" t="s">
        <v>198</v>
      </c>
      <c r="AJ6" s="1" t="s">
        <v>198</v>
      </c>
      <c r="AK6" s="1" t="s">
        <v>198</v>
      </c>
    </row>
    <row r="7" spans="1:47" x14ac:dyDescent="0.55000000000000004">
      <c r="A7" s="6" t="s">
        <v>204</v>
      </c>
      <c r="B7" s="32" t="s">
        <v>204</v>
      </c>
      <c r="C7" s="34">
        <v>45587</v>
      </c>
      <c r="D7" s="4">
        <v>45591</v>
      </c>
      <c r="E7" s="1" t="s">
        <v>205</v>
      </c>
      <c r="F7" s="1" t="s">
        <v>209</v>
      </c>
      <c r="G7" s="1" t="s">
        <v>238</v>
      </c>
      <c r="H7" s="1" t="s">
        <v>209</v>
      </c>
      <c r="I7" s="1" t="s">
        <v>221</v>
      </c>
      <c r="J7" s="33">
        <v>45734.795162037037</v>
      </c>
      <c r="T7" s="1" t="s">
        <v>198</v>
      </c>
    </row>
    <row r="8" spans="1:47" x14ac:dyDescent="0.55000000000000004">
      <c r="A8" s="6" t="s">
        <v>244</v>
      </c>
      <c r="B8" s="32" t="s">
        <v>245</v>
      </c>
      <c r="C8" s="34">
        <v>45569</v>
      </c>
      <c r="D8" s="4">
        <v>45570</v>
      </c>
      <c r="E8" s="1" t="s">
        <v>244</v>
      </c>
      <c r="F8" s="1" t="s">
        <v>245</v>
      </c>
      <c r="G8" s="1" t="s">
        <v>246</v>
      </c>
      <c r="H8" s="1" t="s">
        <v>245</v>
      </c>
      <c r="I8" s="1" t="s">
        <v>221</v>
      </c>
      <c r="J8" s="33">
        <v>45737.728263888886</v>
      </c>
      <c r="AK8" s="1" t="s">
        <v>198</v>
      </c>
    </row>
    <row r="9" spans="1:47" x14ac:dyDescent="0.55000000000000004">
      <c r="A9" s="6" t="s">
        <v>235</v>
      </c>
      <c r="B9" s="32" t="s">
        <v>236</v>
      </c>
      <c r="C9" s="34">
        <v>45562</v>
      </c>
      <c r="D9" s="4">
        <v>45570</v>
      </c>
      <c r="E9" s="1" t="s">
        <v>235</v>
      </c>
      <c r="F9" s="1" t="s">
        <v>236</v>
      </c>
      <c r="G9" s="1" t="s">
        <v>237</v>
      </c>
      <c r="H9" s="1" t="s">
        <v>236</v>
      </c>
      <c r="I9" s="1" t="s">
        <v>221</v>
      </c>
      <c r="J9" s="33">
        <v>45737.671319444446</v>
      </c>
      <c r="N9" s="1" t="s">
        <v>198</v>
      </c>
      <c r="Q9" s="1" t="s">
        <v>198</v>
      </c>
      <c r="S9" s="1" t="s">
        <v>198</v>
      </c>
      <c r="V9" s="1" t="s">
        <v>198</v>
      </c>
    </row>
    <row r="10" spans="1:47" x14ac:dyDescent="0.55000000000000004">
      <c r="A10" s="6" t="s">
        <v>239</v>
      </c>
      <c r="B10" s="32" t="s">
        <v>240</v>
      </c>
      <c r="C10" s="34">
        <v>45531</v>
      </c>
      <c r="D10" s="4">
        <v>45534</v>
      </c>
      <c r="E10" s="1" t="s">
        <v>205</v>
      </c>
      <c r="F10" s="1" t="s">
        <v>209</v>
      </c>
      <c r="G10" s="1" t="s">
        <v>241</v>
      </c>
      <c r="H10" s="1" t="s">
        <v>209</v>
      </c>
      <c r="I10" s="1" t="s">
        <v>221</v>
      </c>
      <c r="J10" s="33">
        <v>45737.715243055558</v>
      </c>
      <c r="K10" s="1" t="s">
        <v>198</v>
      </c>
      <c r="L10" s="1" t="s">
        <v>198</v>
      </c>
      <c r="M10" s="1" t="s">
        <v>198</v>
      </c>
      <c r="N10" s="1" t="s">
        <v>198</v>
      </c>
      <c r="O10" s="1" t="s">
        <v>198</v>
      </c>
      <c r="P10" s="1" t="s">
        <v>198</v>
      </c>
      <c r="Q10" s="1" t="s">
        <v>198</v>
      </c>
      <c r="R10" s="1" t="s">
        <v>198</v>
      </c>
      <c r="S10" s="1" t="s">
        <v>198</v>
      </c>
      <c r="T10" s="1" t="s">
        <v>198</v>
      </c>
      <c r="U10" s="1" t="s">
        <v>198</v>
      </c>
      <c r="V10" s="1" t="s">
        <v>198</v>
      </c>
      <c r="W10" s="1" t="s">
        <v>198</v>
      </c>
      <c r="X10" s="1" t="s">
        <v>198</v>
      </c>
      <c r="Y10" s="1" t="s">
        <v>198</v>
      </c>
      <c r="Z10" s="1" t="s">
        <v>198</v>
      </c>
      <c r="AA10" s="1" t="s">
        <v>198</v>
      </c>
      <c r="AB10" s="1" t="s">
        <v>198</v>
      </c>
      <c r="AC10" s="1" t="s">
        <v>198</v>
      </c>
      <c r="AD10" s="1" t="s">
        <v>198</v>
      </c>
      <c r="AE10" s="1" t="s">
        <v>198</v>
      </c>
      <c r="AF10" s="1" t="s">
        <v>198</v>
      </c>
      <c r="AG10" s="1" t="s">
        <v>198</v>
      </c>
      <c r="AH10" s="1" t="s">
        <v>198</v>
      </c>
      <c r="AI10" s="1" t="s">
        <v>198</v>
      </c>
      <c r="AJ10" s="1" t="s">
        <v>198</v>
      </c>
      <c r="AK10" s="1" t="s">
        <v>198</v>
      </c>
      <c r="AL10" s="1" t="s">
        <v>198</v>
      </c>
    </row>
    <row r="11" spans="1:47" x14ac:dyDescent="0.55000000000000004">
      <c r="A11" s="6" t="s">
        <v>239</v>
      </c>
      <c r="B11" s="32" t="s">
        <v>240</v>
      </c>
      <c r="C11" s="34">
        <v>45531</v>
      </c>
      <c r="D11" s="4">
        <v>45534</v>
      </c>
      <c r="E11" s="1" t="s">
        <v>242</v>
      </c>
      <c r="F11" s="1" t="s">
        <v>242</v>
      </c>
      <c r="G11" s="1" t="s">
        <v>243</v>
      </c>
      <c r="H11" s="1" t="s">
        <v>242</v>
      </c>
      <c r="I11" s="1" t="s">
        <v>221</v>
      </c>
      <c r="J11" s="33">
        <v>45737.718032407407</v>
      </c>
      <c r="AG11" s="1" t="s">
        <v>198</v>
      </c>
      <c r="AL11" s="1" t="s">
        <v>198</v>
      </c>
    </row>
    <row r="12" spans="1:47" x14ac:dyDescent="0.55000000000000004">
      <c r="A12" s="6" t="s">
        <v>233</v>
      </c>
      <c r="B12" s="32" t="s">
        <v>233</v>
      </c>
      <c r="C12" s="34">
        <v>45516</v>
      </c>
      <c r="D12" s="4">
        <v>45521</v>
      </c>
      <c r="E12" s="1" t="s">
        <v>233</v>
      </c>
      <c r="F12" s="1" t="s">
        <v>233</v>
      </c>
      <c r="G12" s="1" t="s">
        <v>234</v>
      </c>
      <c r="H12" s="1" t="s">
        <v>233</v>
      </c>
      <c r="I12" s="1" t="s">
        <v>221</v>
      </c>
      <c r="J12" s="33">
        <v>45737.620752314811</v>
      </c>
      <c r="N12" s="1" t="s">
        <v>198</v>
      </c>
      <c r="Q12" s="1" t="s">
        <v>198</v>
      </c>
      <c r="S12" s="1" t="s">
        <v>198</v>
      </c>
      <c r="V12" s="1" t="s">
        <v>198</v>
      </c>
    </row>
    <row r="13" spans="1:47" x14ac:dyDescent="0.55000000000000004">
      <c r="A13" s="6" t="s">
        <v>230</v>
      </c>
      <c r="B13" s="32" t="s">
        <v>230</v>
      </c>
      <c r="C13" s="34">
        <v>45513</v>
      </c>
      <c r="D13" s="4">
        <v>45521</v>
      </c>
      <c r="E13" s="1" t="s">
        <v>230</v>
      </c>
      <c r="F13" s="1" t="s">
        <v>230</v>
      </c>
      <c r="G13" s="1" t="s">
        <v>231</v>
      </c>
      <c r="H13" s="1" t="s">
        <v>232</v>
      </c>
      <c r="I13" s="1" t="s">
        <v>221</v>
      </c>
      <c r="J13" s="33">
        <v>45737.598993055559</v>
      </c>
      <c r="U13" s="1" t="s">
        <v>198</v>
      </c>
    </row>
    <row r="14" spans="1:47" x14ac:dyDescent="0.55000000000000004">
      <c r="A14" s="6" t="s">
        <v>227</v>
      </c>
      <c r="B14" s="32" t="s">
        <v>228</v>
      </c>
      <c r="C14" s="34">
        <v>45226</v>
      </c>
      <c r="D14" s="4">
        <v>45228</v>
      </c>
      <c r="E14" s="1" t="s">
        <v>227</v>
      </c>
      <c r="F14" s="1" t="s">
        <v>228</v>
      </c>
      <c r="G14" s="1" t="s">
        <v>229</v>
      </c>
      <c r="H14" s="1" t="s">
        <v>228</v>
      </c>
      <c r="I14" s="1" t="s">
        <v>221</v>
      </c>
      <c r="J14" s="33">
        <v>45736.655277777776</v>
      </c>
      <c r="AA14" s="1" t="s">
        <v>198</v>
      </c>
      <c r="AB14" s="1" t="s">
        <v>198</v>
      </c>
      <c r="AC14" s="1" t="s">
        <v>198</v>
      </c>
      <c r="AD14" s="1" t="s">
        <v>198</v>
      </c>
      <c r="AE14" s="1" t="s">
        <v>198</v>
      </c>
      <c r="AF14" s="1" t="s">
        <v>198</v>
      </c>
      <c r="AG14" s="1" t="s">
        <v>198</v>
      </c>
      <c r="AH14" s="1" t="s">
        <v>198</v>
      </c>
      <c r="AI14" s="1" t="s">
        <v>198</v>
      </c>
      <c r="AJ14" s="1" t="s">
        <v>198</v>
      </c>
      <c r="AK14" s="1" t="s">
        <v>198</v>
      </c>
    </row>
    <row r="15" spans="1:47" x14ac:dyDescent="0.55000000000000004">
      <c r="A15" s="6" t="s">
        <v>222</v>
      </c>
      <c r="B15" s="32" t="s">
        <v>222</v>
      </c>
      <c r="C15" s="34">
        <v>45135</v>
      </c>
      <c r="D15" s="4">
        <v>45184</v>
      </c>
      <c r="E15" s="1" t="s">
        <v>222</v>
      </c>
      <c r="F15" s="1" t="s">
        <v>222</v>
      </c>
      <c r="G15" s="1" t="s">
        <v>223</v>
      </c>
      <c r="H15" s="1" t="s">
        <v>224</v>
      </c>
      <c r="I15" s="1" t="s">
        <v>221</v>
      </c>
      <c r="J15" s="33">
        <v>45734.977071759262</v>
      </c>
      <c r="L15" s="1" t="s">
        <v>198</v>
      </c>
      <c r="M15" s="1" t="s">
        <v>198</v>
      </c>
      <c r="N15" s="1" t="s">
        <v>198</v>
      </c>
      <c r="P15" s="1" t="s">
        <v>198</v>
      </c>
      <c r="Q15" s="1" t="s">
        <v>198</v>
      </c>
      <c r="R15" s="1" t="s">
        <v>198</v>
      </c>
      <c r="S15" s="1" t="s">
        <v>198</v>
      </c>
      <c r="T15" s="1" t="s">
        <v>198</v>
      </c>
      <c r="U15" s="1" t="s">
        <v>198</v>
      </c>
      <c r="V15" s="1" t="s">
        <v>198</v>
      </c>
      <c r="W15" s="1" t="s">
        <v>198</v>
      </c>
      <c r="X15" s="1" t="s">
        <v>198</v>
      </c>
      <c r="Y15" s="1" t="s">
        <v>198</v>
      </c>
      <c r="Z15" s="1" t="s">
        <v>198</v>
      </c>
      <c r="AA15" s="1" t="s">
        <v>198</v>
      </c>
      <c r="AB15" s="1" t="s">
        <v>198</v>
      </c>
      <c r="AC15" s="1" t="s">
        <v>198</v>
      </c>
      <c r="AD15" s="1" t="s">
        <v>198</v>
      </c>
      <c r="AE15" s="1" t="s">
        <v>198</v>
      </c>
      <c r="AF15" s="1" t="s">
        <v>198</v>
      </c>
      <c r="AG15" s="1" t="s">
        <v>198</v>
      </c>
      <c r="AH15" s="1" t="s">
        <v>198</v>
      </c>
      <c r="AI15" s="1" t="s">
        <v>198</v>
      </c>
      <c r="AJ15" s="1" t="s">
        <v>198</v>
      </c>
      <c r="AK15" s="1" t="s">
        <v>198</v>
      </c>
      <c r="AL15" s="1" t="s">
        <v>198</v>
      </c>
      <c r="AM15" s="1" t="s">
        <v>198</v>
      </c>
    </row>
    <row r="16" spans="1:47" x14ac:dyDescent="0.55000000000000004">
      <c r="A16" s="6" t="s">
        <v>222</v>
      </c>
      <c r="B16" s="32" t="s">
        <v>222</v>
      </c>
      <c r="C16" s="34">
        <v>45135</v>
      </c>
      <c r="D16" s="4">
        <v>45228</v>
      </c>
      <c r="E16" s="1" t="s">
        <v>222</v>
      </c>
      <c r="F16" s="1" t="s">
        <v>222</v>
      </c>
      <c r="G16" s="1" t="s">
        <v>225</v>
      </c>
      <c r="H16" s="1" t="s">
        <v>226</v>
      </c>
      <c r="I16" s="1" t="s">
        <v>221</v>
      </c>
      <c r="J16" s="33">
        <v>45734.979305555556</v>
      </c>
      <c r="K16" s="1" t="s">
        <v>198</v>
      </c>
      <c r="L16" s="1" t="s">
        <v>198</v>
      </c>
      <c r="M16" s="1" t="s">
        <v>198</v>
      </c>
      <c r="N16" s="1" t="s">
        <v>198</v>
      </c>
      <c r="O16" s="1" t="s">
        <v>198</v>
      </c>
      <c r="P16" s="1" t="s">
        <v>198</v>
      </c>
      <c r="Q16" s="1" t="s">
        <v>198</v>
      </c>
      <c r="R16" s="1" t="s">
        <v>198</v>
      </c>
      <c r="S16" s="1" t="s">
        <v>198</v>
      </c>
      <c r="T16" s="1" t="s">
        <v>198</v>
      </c>
      <c r="U16" s="1" t="s">
        <v>198</v>
      </c>
      <c r="V16" s="1" t="s">
        <v>198</v>
      </c>
      <c r="W16" s="1" t="s">
        <v>198</v>
      </c>
      <c r="X16" s="1" t="s">
        <v>198</v>
      </c>
      <c r="Y16" s="1" t="s">
        <v>198</v>
      </c>
      <c r="Z16" s="1" t="s">
        <v>198</v>
      </c>
      <c r="AA16" s="1" t="s">
        <v>198</v>
      </c>
      <c r="AB16" s="1" t="s">
        <v>198</v>
      </c>
      <c r="AC16" s="1" t="s">
        <v>198</v>
      </c>
      <c r="AD16" s="1" t="s">
        <v>198</v>
      </c>
      <c r="AE16" s="1" t="s">
        <v>198</v>
      </c>
      <c r="AF16" s="1" t="s">
        <v>198</v>
      </c>
      <c r="AG16" s="1" t="s">
        <v>198</v>
      </c>
      <c r="AH16" s="1" t="s">
        <v>198</v>
      </c>
      <c r="AI16" s="1" t="s">
        <v>198</v>
      </c>
      <c r="AJ16" s="1" t="s">
        <v>198</v>
      </c>
      <c r="AK16" s="1" t="s">
        <v>198</v>
      </c>
      <c r="AL16" s="1" t="s">
        <v>198</v>
      </c>
      <c r="AM16" s="1" t="s">
        <v>198</v>
      </c>
    </row>
  </sheetData>
  <sortState xmlns:xlrd2="http://schemas.microsoft.com/office/spreadsheetml/2017/richdata2" ref="A3:AU16">
    <sortCondition descending="1" ref="C3"/>
  </sortState>
  <phoneticPr fontId="1"/>
  <conditionalFormatting sqref="A1:E1048576">
    <cfRule type="expression" dxfId="1" priority="2">
      <formula>AND(A1&lt;&gt;"", A1=OFFSET(A1, -1, 0))</formula>
    </cfRule>
  </conditionalFormatting>
  <conditionalFormatting sqref="J1:J1048576">
    <cfRule type="expression" dxfId="0" priority="1">
      <formula>J1=MAX(J:J)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F69C-89EA-49F8-A195-81FF18287D78}">
  <sheetPr codeName="Sheet2"/>
  <dimension ref="A1"/>
  <sheetViews>
    <sheetView workbookViewId="0">
      <selection activeCell="E7" sqref="E7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0E887-8BB4-4223-BA02-026D21036513}">
  <sheetPr codeName="Sheet4"/>
  <dimension ref="C1:F1"/>
  <sheetViews>
    <sheetView workbookViewId="0">
      <selection activeCell="A3" sqref="A3:CJ29"/>
    </sheetView>
  </sheetViews>
  <sheetFormatPr defaultRowHeight="18.5" x14ac:dyDescent="0.55000000000000004"/>
  <cols>
    <col min="1" max="2" width="8.6640625" style="7"/>
    <col min="3" max="3" width="8.6640625" style="8"/>
    <col min="4" max="5" width="8.6640625" style="7"/>
    <col min="6" max="6" width="8.6640625" style="8"/>
    <col min="7" max="16384" width="8.6640625" style="7"/>
  </cols>
  <sheetData/>
  <sortState xmlns:xlrd2="http://schemas.microsoft.com/office/spreadsheetml/2017/richdata2" ref="A3:CJ29">
    <sortCondition ref="E3:E29"/>
  </sortState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fe835d-5e95-4512-8ae0-a7b38af25fc8}" enabled="0" method="" siteId="{72fe835d-5e95-4512-8ae0-a7b38af25fc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member</vt:lpstr>
      <vt:lpstr>photo</vt:lpstr>
      <vt:lpstr>live</vt:lpstr>
      <vt:lpstr>編集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岡橋 咲優_2J07_東京</dc:creator>
  <cp:lastModifiedBy>岡橋 咲優_2J07_東京</cp:lastModifiedBy>
  <dcterms:created xsi:type="dcterms:W3CDTF">2025-03-09T10:14:37Z</dcterms:created>
  <dcterms:modified xsi:type="dcterms:W3CDTF">2025-03-22T01:30:38Z</dcterms:modified>
</cp:coreProperties>
</file>