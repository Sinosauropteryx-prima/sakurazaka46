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C:\Users\senom\Desktop\"/>
    </mc:Choice>
  </mc:AlternateContent>
  <xr:revisionPtr revIDLastSave="0" documentId="13_ncr:1_{12299C95-40C6-420B-B901-A5498EBE0A00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1" l="1"/>
  <c r="G29" i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C2" i="3"/>
  <c r="J2" i="3"/>
  <c r="K2" i="3"/>
  <c r="H2" i="3"/>
  <c r="F2" i="3"/>
  <c r="B2" i="3"/>
  <c r="D2" i="3"/>
  <c r="L2" i="3"/>
  <c r="N2" i="3"/>
  <c r="S2" i="3"/>
  <c r="T2" i="3"/>
  <c r="U2" i="3"/>
  <c r="W2" i="3"/>
  <c r="X2" i="3"/>
  <c r="Z2" i="3"/>
  <c r="O2" i="3"/>
  <c r="P2" i="3"/>
  <c r="Q2" i="3"/>
  <c r="R2" i="3"/>
  <c r="V2" i="3"/>
  <c r="Y2" i="3"/>
  <c r="AA2" i="3"/>
  <c r="AB2" i="3"/>
  <c r="AC2" i="3"/>
  <c r="AD2" i="3"/>
  <c r="AE2" i="3"/>
  <c r="AF2" i="3"/>
  <c r="AG2" i="3"/>
  <c r="AH2" i="3"/>
  <c r="AI2" i="3"/>
  <c r="AJ2" i="3"/>
  <c r="AK2" i="3"/>
  <c r="AL2" i="3"/>
  <c r="M2" i="3"/>
  <c r="AM2" i="3"/>
  <c r="AN2" i="3"/>
  <c r="AO2" i="3"/>
  <c r="AP2" i="3"/>
  <c r="AQ2" i="3"/>
  <c r="AR2" i="3"/>
  <c r="AS2" i="3"/>
  <c r="AT2" i="3"/>
  <c r="AU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I2" i="3"/>
  <c r="E2" i="3"/>
  <c r="G2" i="3"/>
  <c r="A2" i="3"/>
</calcChain>
</file>

<file path=xl/sharedStrings.xml><?xml version="1.0" encoding="utf-8"?>
<sst xmlns="http://schemas.openxmlformats.org/spreadsheetml/2006/main" count="2277" uniqueCount="226">
  <si>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</si>
  <si>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</si>
  <si>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</si>
  <si>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</si>
  <si>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</si>
  <si>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</si>
  <si>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</si>
  <si>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</si>
  <si>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</si>
  <si>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</si>
  <si>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</si>
  <si>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</si>
  <si>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</si>
  <si>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</si>
  <si>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</si>
  <si>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</si>
  <si>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</si>
  <si>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</si>
  <si>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</si>
  <si>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</si>
  <si>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</si>
  <si>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</si>
  <si>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</si>
  <si>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</si>
  <si>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</si>
  <si>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</si>
  <si>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</si>
  <si>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</si>
  <si>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</si>
  <si>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</si>
  <si>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</si>
  <si>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</si>
  <si>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</si>
  <si>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</si>
  <si>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</si>
  <si>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</si>
  <si>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</si>
  <si>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</si>
  <si>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</si>
  <si>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</si>
  <si>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</si>
  <si>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</si>
  <si>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</si>
  <si>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</si>
  <si>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</si>
  <si>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</si>
  <si>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</si>
  <si>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</si>
  <si>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</si>
  <si>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</si>
  <si>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</si>
  <si>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</si>
  <si>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</si>
  <si>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</si>
  <si>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</si>
  <si>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</si>
  <si>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</si>
  <si>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</si>
  <si>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</si>
  <si>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</si>
  <si>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</si>
  <si>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</si>
  <si>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</si>
  <si>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</si>
  <si>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</si>
  <si>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</si>
  <si>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</si>
  <si>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</si>
  <si>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</si>
  <si>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</si>
  <si>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</si>
  <si>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</si>
  <si>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</si>
  <si>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</si>
  <si>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</si>
  <si>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</si>
  <si>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</si>
  <si>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</si>
  <si>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</si>
  <si>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</si>
  <si>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</si>
  <si>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</si>
  <si>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</si>
  <si>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</si>
  <si>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</si>
  <si>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</si>
  <si>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</si>
  <si>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</si>
  <si>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</si>
  <si>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</si>
  <si>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</si>
  <si>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</si>
  <si>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</si>
  <si>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</si>
  <si>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</si>
  <si>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</si>
  <si>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</si>
  <si>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</si>
  <si>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</si>
  <si>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</si>
  <si>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</si>
  <si>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</si>
  <si>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</si>
  <si>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</si>
  <si>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</si>
  <si>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</si>
  <si>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</si>
  <si>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</si>
  <si>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</si>
  <si>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</si>
  <si>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</si>
  <si>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</si>
  <si>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</si>
  <si>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</si>
  <si>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</si>
  <si>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</si>
  <si>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</si>
  <si>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</si>
  <si>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</si>
  <si>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</si>
  <si>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</si>
  <si>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</si>
  <si>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</si>
  <si>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</si>
  <si>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</si>
  <si>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</si>
  <si>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</si>
  <si>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</si>
  <si>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</si>
  <si>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</si>
  <si>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</si>
  <si>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</si>
  <si>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</si>
  <si>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</si>
  <si>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</si>
  <si>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</si>
  <si>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</si>
  <si>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</si>
  <si>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</si>
  <si>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</si>
  <si>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</si>
  <si>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</si>
  <si>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</si>
  <si>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</si>
  <si>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</si>
  <si>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</si>
  <si>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</si>
  <si>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</si>
  <si>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</si>
  <si>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</si>
  <si>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</si>
  <si>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</si>
  <si>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</si>
  <si>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</si>
  <si>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</si>
  <si>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</si>
  <si>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</si>
  <si>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</si>
  <si>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</si>
  <si>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</si>
  <si>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</si>
  <si>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</si>
  <si>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</si>
  <si>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</si>
  <si>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</si>
  <si>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</si>
  <si>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</si>
  <si>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</si>
  <si>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</si>
  <si>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</si>
  <si>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</si>
  <si>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</si>
  <si>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</si>
  <si>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</si>
  <si>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</si>
  <si>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</si>
  <si>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</si>
  <si>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</si>
  <si>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</si>
  <si>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</si>
  <si>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</si>
  <si>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</si>
  <si>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</si>
  <si>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</si>
  <si>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</si>
  <si>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</si>
  <si>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</si>
  <si>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</si>
  <si>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</si>
  <si>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</si>
  <si>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</si>
  <si>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</si>
  <si>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</si>
  <si>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</si>
  <si>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</si>
  <si>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</si>
  <si>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</si>
  <si>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</si>
  <si>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</si>
  <si>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</si>
  <si>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</si>
  <si>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</si>
  <si>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</si>
  <si>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</si>
  <si>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</si>
  <si>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</si>
  <si>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</si>
  <si>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</si>
  <si>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</si>
  <si>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</si>
  <si>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パネル[18]</t>
    <phoneticPr fontId="1"/>
  </si>
  <si>
    <t>パネル</t>
    <phoneticPr fontId="1"/>
  </si>
  <si>
    <t>売り場1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</si>
  <si>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</si>
  <si>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</si>
  <si>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</si>
  <si>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</si>
  <si>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</si>
  <si>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</si>
  <si>
    <t>売り場[9]</t>
    <phoneticPr fontId="1"/>
  </si>
  <si>
    <t>メンバーパネル[134]</t>
    <phoneticPr fontId="1"/>
  </si>
  <si>
    <t>メンバーパネル</t>
    <phoneticPr fontId="1"/>
  </si>
  <si>
    <t>メンバーフラッグ[30]</t>
    <phoneticPr fontId="1"/>
  </si>
  <si>
    <t>メンバーフラッグ</t>
    <phoneticPr fontId="1"/>
  </si>
  <si>
    <t>イベント開始日</t>
    <rPh sb="4" eb="7">
      <t>カイシビ</t>
    </rPh>
    <phoneticPr fontId="1"/>
  </si>
  <si>
    <t>jpg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</si>
</sst>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</cellXfs>
  <cellStyles count="1">
    <cellStyle name="標準" xfId="0" builtinId="0"/>
  </cellStyles>
  <dxfs count="15"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5" sqref="D5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9" si="2">TEXT(F3, "yyyymmdd")</f>
        <v>19981114</v>
      </c>
      <c r="H3" s="7" t="s">
        <v>13</v>
      </c>
      <c r="I3" s="7">
        <f t="shared" ref="I3:I29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9</v>
      </c>
      <c r="B5" s="7" t="s">
        <v>124</v>
      </c>
      <c r="C5" s="8">
        <v>42237</v>
      </c>
      <c r="D5" s="7"/>
      <c r="E5" s="7" t="s">
        <v>10</v>
      </c>
      <c r="F5" s="8">
        <v>35434</v>
      </c>
      <c r="G5" s="7" t="str">
        <f t="shared" si="2"/>
        <v>19970104</v>
      </c>
      <c r="H5" s="7" t="s">
        <v>11</v>
      </c>
      <c r="I5" s="7">
        <f t="shared" si="3"/>
        <v>12</v>
      </c>
      <c r="J5" s="7">
        <v>153.5</v>
      </c>
      <c r="K5" s="7" t="s">
        <v>161</v>
      </c>
      <c r="L5" s="7"/>
      <c r="M5" s="7"/>
      <c r="N5" s="7"/>
      <c r="O5" s="7"/>
      <c r="P5" s="7"/>
      <c r="Q5" s="7" t="s">
        <v>29</v>
      </c>
      <c r="R5" s="7" t="s">
        <v>29</v>
      </c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/>
      <c r="AC5" s="7"/>
      <c r="AD5" s="7"/>
      <c r="AE5" s="7" t="s">
        <v>29</v>
      </c>
      <c r="AF5" s="7"/>
      <c r="AG5" s="7"/>
      <c r="AH5" s="7" t="s">
        <v>29</v>
      </c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 t="s">
        <v>14</v>
      </c>
      <c r="AV5" s="7"/>
      <c r="AW5" s="7" t="s">
        <v>166</v>
      </c>
      <c r="AX5" s="7"/>
      <c r="AY5" s="7" t="s">
        <v>29</v>
      </c>
      <c r="AZ5" s="7" t="s">
        <v>103</v>
      </c>
      <c r="BA5" s="7"/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 t="s">
        <v>103</v>
      </c>
      <c r="BI5" s="7"/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14</v>
      </c>
      <c r="BQ5" s="7"/>
      <c r="BR5" s="7"/>
      <c r="BS5" s="7"/>
      <c r="BT5" s="7" t="s">
        <v>103</v>
      </c>
      <c r="BU5" s="7"/>
      <c r="BV5" s="7" t="s">
        <v>169</v>
      </c>
      <c r="BW5" s="7"/>
      <c r="BX5" s="7" t="s">
        <v>103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29</v>
      </c>
      <c r="CH5" s="7"/>
      <c r="CI5" s="7"/>
      <c r="CJ5" s="7"/>
    </row>
    <row r="6" spans="1:88" x14ac:dyDescent="0.55000000000000004">
      <c r="A6" s="7" t="s">
        <v>17</v>
      </c>
      <c r="B6" s="7" t="s">
        <v>127</v>
      </c>
      <c r="C6" s="8">
        <v>43433</v>
      </c>
      <c r="D6" s="7"/>
      <c r="E6" s="7" t="s">
        <v>18</v>
      </c>
      <c r="F6" s="8">
        <v>36920</v>
      </c>
      <c r="G6" s="7" t="str">
        <f t="shared" si="2"/>
        <v>20010129</v>
      </c>
      <c r="H6" s="7" t="s">
        <v>13</v>
      </c>
      <c r="I6" s="7">
        <f t="shared" si="3"/>
        <v>28</v>
      </c>
      <c r="J6" s="7">
        <v>163</v>
      </c>
      <c r="K6" s="7" t="s">
        <v>161</v>
      </c>
      <c r="L6" s="7"/>
      <c r="M6" s="7"/>
      <c r="N6" s="7"/>
      <c r="O6" s="7" t="s">
        <v>29</v>
      </c>
      <c r="P6" s="7" t="s">
        <v>29</v>
      </c>
      <c r="Q6" s="7"/>
      <c r="R6" s="7"/>
      <c r="S6" s="7" t="s">
        <v>162</v>
      </c>
      <c r="T6" s="7" t="s">
        <v>29</v>
      </c>
      <c r="U6" s="7" t="s">
        <v>29</v>
      </c>
      <c r="V6" s="7"/>
      <c r="W6" s="7"/>
      <c r="X6" s="7"/>
      <c r="Y6" s="7"/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/>
      <c r="AG6" s="7" t="s">
        <v>103</v>
      </c>
      <c r="AH6" s="7"/>
      <c r="AI6" s="7" t="s">
        <v>164</v>
      </c>
      <c r="AJ6" s="7" t="s">
        <v>29</v>
      </c>
      <c r="AK6" s="7" t="s">
        <v>29</v>
      </c>
      <c r="AL6" s="7" t="s">
        <v>14</v>
      </c>
      <c r="AM6" s="7"/>
      <c r="AN6" s="7"/>
      <c r="AO6" s="7"/>
      <c r="AP6" s="7" t="s">
        <v>29</v>
      </c>
      <c r="AQ6" s="7" t="s">
        <v>165</v>
      </c>
      <c r="AR6" s="7" t="s">
        <v>29</v>
      </c>
      <c r="AS6" s="7"/>
      <c r="AT6" s="7"/>
      <c r="AU6" s="7"/>
      <c r="AV6" s="7"/>
      <c r="AW6" s="7" t="s">
        <v>166</v>
      </c>
      <c r="AX6" s="7" t="s">
        <v>29</v>
      </c>
      <c r="AY6" s="7"/>
      <c r="AZ6" s="7" t="s">
        <v>103</v>
      </c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29</v>
      </c>
      <c r="BG6" s="7"/>
      <c r="BH6" s="7"/>
      <c r="BI6" s="7" t="s">
        <v>14</v>
      </c>
      <c r="BJ6" s="7"/>
      <c r="BK6" s="7" t="s">
        <v>29</v>
      </c>
      <c r="BL6" s="7" t="s">
        <v>29</v>
      </c>
      <c r="BM6" s="7" t="s">
        <v>168</v>
      </c>
      <c r="BN6" s="7"/>
      <c r="BO6" s="7"/>
      <c r="BP6" s="7" t="s">
        <v>38</v>
      </c>
      <c r="BQ6" s="7"/>
      <c r="BR6" s="7"/>
      <c r="BS6" s="7"/>
      <c r="BT6" s="7" t="s">
        <v>103</v>
      </c>
      <c r="BU6" s="7"/>
      <c r="BV6" s="7" t="s">
        <v>169</v>
      </c>
      <c r="BW6" s="7" t="s">
        <v>29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29</v>
      </c>
      <c r="CF6" s="7"/>
      <c r="CG6" s="7"/>
      <c r="CH6" s="7" t="s">
        <v>103</v>
      </c>
      <c r="CI6" s="7"/>
      <c r="CJ6" s="7"/>
    </row>
    <row r="7" spans="1:88" x14ac:dyDescent="0.55000000000000004">
      <c r="A7" s="7" t="s">
        <v>19</v>
      </c>
      <c r="B7" s="7" t="s">
        <v>128</v>
      </c>
      <c r="C7" s="8">
        <v>43877</v>
      </c>
      <c r="D7" s="7"/>
      <c r="E7" s="7" t="s">
        <v>18</v>
      </c>
      <c r="F7" s="8">
        <v>36267</v>
      </c>
      <c r="G7" s="7" t="str">
        <f t="shared" si="2"/>
        <v>19990417</v>
      </c>
      <c r="H7" s="7" t="s">
        <v>20</v>
      </c>
      <c r="I7" s="7">
        <f t="shared" si="3"/>
        <v>14</v>
      </c>
      <c r="J7" s="7">
        <v>163.30000000000001</v>
      </c>
      <c r="K7" s="7" t="s">
        <v>161</v>
      </c>
      <c r="L7" s="7"/>
      <c r="M7" s="7"/>
      <c r="N7" s="7"/>
      <c r="O7" s="7"/>
      <c r="P7" s="7"/>
      <c r="Q7" s="7" t="s">
        <v>29</v>
      </c>
      <c r="R7" s="7" t="s">
        <v>29</v>
      </c>
      <c r="S7" s="7" t="s">
        <v>162</v>
      </c>
      <c r="T7" s="7"/>
      <c r="U7" s="7"/>
      <c r="V7" s="7"/>
      <c r="W7" s="7"/>
      <c r="X7" s="7" t="s">
        <v>29</v>
      </c>
      <c r="Y7" s="7" t="s">
        <v>29</v>
      </c>
      <c r="Z7" s="7" t="s">
        <v>103</v>
      </c>
      <c r="AA7" s="7" t="s">
        <v>163</v>
      </c>
      <c r="AB7" s="7"/>
      <c r="AC7" s="7"/>
      <c r="AD7" s="7" t="s">
        <v>29</v>
      </c>
      <c r="AE7" s="7" t="s">
        <v>14</v>
      </c>
      <c r="AF7" s="7" t="s">
        <v>103</v>
      </c>
      <c r="AG7" s="7"/>
      <c r="AH7" s="7"/>
      <c r="AI7" s="7" t="s">
        <v>164</v>
      </c>
      <c r="AJ7" s="7"/>
      <c r="AK7" s="7" t="s">
        <v>29</v>
      </c>
      <c r="AL7" s="7" t="s">
        <v>29</v>
      </c>
      <c r="AM7" s="7"/>
      <c r="AN7" s="7"/>
      <c r="AO7" s="7" t="s">
        <v>29</v>
      </c>
      <c r="AP7" s="7"/>
      <c r="AQ7" s="7" t="s">
        <v>165</v>
      </c>
      <c r="AR7" s="7"/>
      <c r="AS7" s="7" t="s">
        <v>29</v>
      </c>
      <c r="AT7" s="7"/>
      <c r="AU7" s="7"/>
      <c r="AV7" s="7"/>
      <c r="AW7" s="7" t="s">
        <v>166</v>
      </c>
      <c r="AX7" s="7"/>
      <c r="AY7" s="7" t="s">
        <v>29</v>
      </c>
      <c r="AZ7" s="7" t="s">
        <v>103</v>
      </c>
      <c r="BA7" s="7"/>
      <c r="BB7" s="7" t="s">
        <v>103</v>
      </c>
      <c r="BC7" s="7"/>
      <c r="BD7" s="7" t="s">
        <v>103</v>
      </c>
      <c r="BE7" s="7" t="s">
        <v>167</v>
      </c>
      <c r="BF7" s="7" t="s">
        <v>176</v>
      </c>
      <c r="BG7" s="7" t="s">
        <v>176</v>
      </c>
      <c r="BH7" s="7" t="s">
        <v>176</v>
      </c>
      <c r="BI7" s="7" t="s">
        <v>176</v>
      </c>
      <c r="BJ7" s="7" t="s">
        <v>176</v>
      </c>
      <c r="BK7" s="7" t="s">
        <v>176</v>
      </c>
      <c r="BL7" s="7" t="s">
        <v>176</v>
      </c>
      <c r="BM7" s="7" t="s">
        <v>168</v>
      </c>
      <c r="BN7" s="7" t="s">
        <v>176</v>
      </c>
      <c r="BO7" s="7" t="s">
        <v>176</v>
      </c>
      <c r="BP7" s="7" t="s">
        <v>176</v>
      </c>
      <c r="BQ7" s="7" t="s">
        <v>176</v>
      </c>
      <c r="BR7" s="7" t="s">
        <v>176</v>
      </c>
      <c r="BS7" s="7" t="s">
        <v>176</v>
      </c>
      <c r="BT7" s="7" t="s">
        <v>176</v>
      </c>
      <c r="BU7" s="7"/>
      <c r="BV7" s="7" t="s">
        <v>169</v>
      </c>
      <c r="BW7" s="7"/>
      <c r="BX7" s="7" t="s">
        <v>103</v>
      </c>
      <c r="BY7" s="7"/>
      <c r="BZ7" s="7"/>
      <c r="CA7" s="7"/>
      <c r="CB7" s="7"/>
      <c r="CC7" s="7"/>
      <c r="CD7" s="7" t="s">
        <v>170</v>
      </c>
      <c r="CE7" s="7"/>
      <c r="CF7" s="7"/>
      <c r="CG7" s="7" t="s">
        <v>29</v>
      </c>
      <c r="CH7" s="7"/>
      <c r="CI7" s="7"/>
      <c r="CJ7" s="7"/>
    </row>
    <row r="8" spans="1:88" x14ac:dyDescent="0.55000000000000004">
      <c r="A8" s="7" t="s">
        <v>21</v>
      </c>
      <c r="B8" s="7" t="s">
        <v>129</v>
      </c>
      <c r="C8" s="8">
        <v>43877</v>
      </c>
      <c r="D8" s="7"/>
      <c r="E8" s="7" t="s">
        <v>18</v>
      </c>
      <c r="F8" s="8">
        <v>36634</v>
      </c>
      <c r="G8" s="7" t="str">
        <f t="shared" si="2"/>
        <v>20000418</v>
      </c>
      <c r="H8" s="7" t="s">
        <v>22</v>
      </c>
      <c r="I8" s="7">
        <f t="shared" si="3"/>
        <v>46</v>
      </c>
      <c r="J8" s="7">
        <v>163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/>
      <c r="AH8" s="7"/>
      <c r="AI8" s="7" t="s">
        <v>164</v>
      </c>
      <c r="AJ8" s="7" t="s">
        <v>29</v>
      </c>
      <c r="AK8" s="7" t="s">
        <v>14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 t="s">
        <v>103</v>
      </c>
      <c r="AW8" s="7" t="s">
        <v>166</v>
      </c>
      <c r="AX8" s="7" t="s">
        <v>14</v>
      </c>
      <c r="AY8" s="7" t="s">
        <v>38</v>
      </c>
      <c r="AZ8" s="7"/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14</v>
      </c>
      <c r="BJ8" s="7"/>
      <c r="BK8" s="7" t="s">
        <v>29</v>
      </c>
      <c r="BL8" s="7" t="s">
        <v>29</v>
      </c>
      <c r="BM8" s="7" t="s">
        <v>168</v>
      </c>
      <c r="BN8" s="7" t="s">
        <v>14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14</v>
      </c>
      <c r="CF8" s="7"/>
      <c r="CG8" s="7"/>
      <c r="CH8" s="7"/>
      <c r="CI8" s="7"/>
      <c r="CJ8" s="7"/>
    </row>
    <row r="9" spans="1:88" x14ac:dyDescent="0.55000000000000004">
      <c r="A9" s="7" t="s">
        <v>23</v>
      </c>
      <c r="B9" s="7" t="s">
        <v>130</v>
      </c>
      <c r="C9" s="8">
        <v>43877</v>
      </c>
      <c r="D9" s="7"/>
      <c r="E9" s="7" t="s">
        <v>18</v>
      </c>
      <c r="F9" s="8">
        <v>36445</v>
      </c>
      <c r="G9" s="7" t="str">
        <f t="shared" si="2"/>
        <v>19991012</v>
      </c>
      <c r="H9" s="7" t="s">
        <v>24</v>
      </c>
      <c r="I9" s="7">
        <f t="shared" si="3"/>
        <v>22</v>
      </c>
      <c r="J9" s="7">
        <v>161</v>
      </c>
      <c r="K9" s="7" t="s">
        <v>161</v>
      </c>
      <c r="L9" s="7"/>
      <c r="M9" s="7"/>
      <c r="N9" s="7"/>
      <c r="O9" s="7"/>
      <c r="P9" s="7"/>
      <c r="Q9" s="7" t="s">
        <v>29</v>
      </c>
      <c r="R9" s="7" t="s">
        <v>29</v>
      </c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 t="s">
        <v>29</v>
      </c>
      <c r="AE9" s="7" t="s">
        <v>14</v>
      </c>
      <c r="AF9" s="7"/>
      <c r="AG9" s="7"/>
      <c r="AH9" s="7"/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49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14</v>
      </c>
      <c r="CH9" s="7" t="s">
        <v>103</v>
      </c>
      <c r="CI9" s="7"/>
      <c r="CJ9" s="7"/>
    </row>
    <row r="10" spans="1:88" x14ac:dyDescent="0.55000000000000004">
      <c r="A10" s="7" t="s">
        <v>25</v>
      </c>
      <c r="B10" s="7" t="s">
        <v>131</v>
      </c>
      <c r="C10" s="8">
        <v>43877</v>
      </c>
      <c r="D10" s="7"/>
      <c r="E10" s="7" t="s">
        <v>18</v>
      </c>
      <c r="F10" s="8">
        <v>37609</v>
      </c>
      <c r="G10" s="7" t="str">
        <f t="shared" si="2"/>
        <v>20021219</v>
      </c>
      <c r="H10" s="7" t="s">
        <v>26</v>
      </c>
      <c r="I10" s="7">
        <f t="shared" si="3"/>
        <v>24</v>
      </c>
      <c r="J10" s="7">
        <v>154.5</v>
      </c>
      <c r="K10" s="7" t="s">
        <v>161</v>
      </c>
      <c r="L10" s="7"/>
      <c r="M10" s="7"/>
      <c r="N10" s="7"/>
      <c r="O10" s="7" t="s">
        <v>29</v>
      </c>
      <c r="P10" s="7" t="s">
        <v>29</v>
      </c>
      <c r="Q10" s="7"/>
      <c r="R10" s="7"/>
      <c r="S10" s="7" t="s">
        <v>162</v>
      </c>
      <c r="T10" s="7"/>
      <c r="U10" s="7"/>
      <c r="V10" s="7"/>
      <c r="W10" s="7"/>
      <c r="X10" s="7" t="s">
        <v>29</v>
      </c>
      <c r="Y10" s="7" t="s">
        <v>29</v>
      </c>
      <c r="Z10" s="7" t="s">
        <v>103</v>
      </c>
      <c r="AA10" s="7" t="s">
        <v>163</v>
      </c>
      <c r="AB10" s="7"/>
      <c r="AC10" s="7"/>
      <c r="AD10" s="7"/>
      <c r="AE10" s="7" t="s">
        <v>29</v>
      </c>
      <c r="AF10" s="7"/>
      <c r="AG10" s="7"/>
      <c r="AH10" s="7" t="s">
        <v>29</v>
      </c>
      <c r="AI10" s="7" t="s">
        <v>164</v>
      </c>
      <c r="AJ10" s="7"/>
      <c r="AK10" s="7" t="s">
        <v>29</v>
      </c>
      <c r="AL10" s="7" t="s">
        <v>29</v>
      </c>
      <c r="AM10" s="7"/>
      <c r="AN10" s="7"/>
      <c r="AO10" s="7" t="s">
        <v>29</v>
      </c>
      <c r="AP10" s="7"/>
      <c r="AQ10" s="7" t="s">
        <v>165</v>
      </c>
      <c r="AR10" s="7"/>
      <c r="AS10" s="7" t="s">
        <v>29</v>
      </c>
      <c r="AT10" s="7"/>
      <c r="AU10" s="7"/>
      <c r="AV10" s="7"/>
      <c r="AW10" s="7" t="s">
        <v>166</v>
      </c>
      <c r="AX10" s="7"/>
      <c r="AY10" s="7" t="s">
        <v>29</v>
      </c>
      <c r="AZ10" s="7" t="s">
        <v>103</v>
      </c>
      <c r="BA10" s="7"/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/>
      <c r="BO10" s="7"/>
      <c r="BP10" s="7" t="s">
        <v>29</v>
      </c>
      <c r="BQ10" s="7"/>
      <c r="BR10" s="7"/>
      <c r="BS10" s="7"/>
      <c r="BT10" s="7" t="s">
        <v>103</v>
      </c>
      <c r="BU10" s="7"/>
      <c r="BV10" s="7" t="s">
        <v>169</v>
      </c>
      <c r="BW10" s="7"/>
      <c r="BX10" s="7" t="s">
        <v>103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29</v>
      </c>
      <c r="CH10" s="7"/>
      <c r="CI10" s="7"/>
      <c r="CJ10" s="7"/>
    </row>
    <row r="11" spans="1:88" x14ac:dyDescent="0.55000000000000004">
      <c r="A11" s="7" t="s">
        <v>27</v>
      </c>
      <c r="B11" s="7" t="s">
        <v>132</v>
      </c>
      <c r="C11" s="8">
        <v>43433</v>
      </c>
      <c r="D11" s="7"/>
      <c r="E11" s="7" t="s">
        <v>18</v>
      </c>
      <c r="F11" s="8">
        <v>37338</v>
      </c>
      <c r="G11" s="7" t="str">
        <f t="shared" si="2"/>
        <v>20020323</v>
      </c>
      <c r="H11" s="7" t="s">
        <v>28</v>
      </c>
      <c r="I11" s="7">
        <f t="shared" si="3"/>
        <v>25</v>
      </c>
      <c r="J11" s="7">
        <v>158.5</v>
      </c>
      <c r="K11" s="7" t="s">
        <v>161</v>
      </c>
      <c r="L11" s="7" t="s">
        <v>29</v>
      </c>
      <c r="M11" s="7" t="s">
        <v>29</v>
      </c>
      <c r="N11" s="7" t="s">
        <v>29</v>
      </c>
      <c r="O11" s="7"/>
      <c r="P11" s="7"/>
      <c r="Q11" s="7"/>
      <c r="R11" s="7"/>
      <c r="S11" s="7" t="s">
        <v>162</v>
      </c>
      <c r="T11" s="7"/>
      <c r="U11" s="7"/>
      <c r="V11" s="7" t="s">
        <v>29</v>
      </c>
      <c r="W11" s="7" t="s">
        <v>29</v>
      </c>
      <c r="X11" s="7"/>
      <c r="Y11" s="7"/>
      <c r="Z11" s="7" t="s">
        <v>103</v>
      </c>
      <c r="AA11" s="7" t="s">
        <v>163</v>
      </c>
      <c r="AB11" s="7" t="s">
        <v>29</v>
      </c>
      <c r="AC11" s="7" t="s">
        <v>29</v>
      </c>
      <c r="AD11" s="7"/>
      <c r="AE11" s="7" t="s">
        <v>14</v>
      </c>
      <c r="AF11" s="7"/>
      <c r="AG11" s="7"/>
      <c r="AH11" s="7"/>
      <c r="AI11" s="7" t="s">
        <v>164</v>
      </c>
      <c r="AJ11" s="7" t="s">
        <v>29</v>
      </c>
      <c r="AK11" s="7" t="s">
        <v>29</v>
      </c>
      <c r="AL11" s="7" t="s">
        <v>14</v>
      </c>
      <c r="AM11" s="7"/>
      <c r="AN11" s="7" t="s">
        <v>103</v>
      </c>
      <c r="AO11" s="7"/>
      <c r="AP11" s="7" t="s">
        <v>29</v>
      </c>
      <c r="AQ11" s="7" t="s">
        <v>165</v>
      </c>
      <c r="AR11" s="7" t="s">
        <v>29</v>
      </c>
      <c r="AS11" s="7"/>
      <c r="AT11" s="7"/>
      <c r="AU11" s="7"/>
      <c r="AV11" s="7"/>
      <c r="AW11" s="7" t="s">
        <v>166</v>
      </c>
      <c r="AX11" s="7" t="s">
        <v>29</v>
      </c>
      <c r="AY11" s="7"/>
      <c r="AZ11" s="7" t="s">
        <v>103</v>
      </c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29</v>
      </c>
      <c r="BG11" s="7"/>
      <c r="BH11" s="7"/>
      <c r="BI11" s="7" t="s">
        <v>14</v>
      </c>
      <c r="BJ11" s="7"/>
      <c r="BK11" s="7" t="s">
        <v>29</v>
      </c>
      <c r="BL11" s="7" t="s">
        <v>29</v>
      </c>
      <c r="BM11" s="7" t="s">
        <v>168</v>
      </c>
      <c r="BN11" s="7" t="s">
        <v>29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/>
      <c r="BX11" s="7" t="s">
        <v>38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49</v>
      </c>
      <c r="CH11" s="7" t="s">
        <v>103</v>
      </c>
      <c r="CI11" s="7"/>
      <c r="CJ11" s="7"/>
    </row>
    <row r="12" spans="1:88" x14ac:dyDescent="0.55000000000000004">
      <c r="A12" s="7" t="s">
        <v>30</v>
      </c>
      <c r="B12" s="7" t="s">
        <v>133</v>
      </c>
      <c r="C12" s="8">
        <v>43433</v>
      </c>
      <c r="D12" s="7"/>
      <c r="E12" s="7" t="s">
        <v>18</v>
      </c>
      <c r="F12" s="8">
        <v>36089</v>
      </c>
      <c r="G12" s="7" t="str">
        <f t="shared" si="2"/>
        <v>19981021</v>
      </c>
      <c r="H12" s="7" t="s">
        <v>31</v>
      </c>
      <c r="I12" s="7">
        <f t="shared" si="3"/>
        <v>27</v>
      </c>
      <c r="J12" s="7">
        <v>163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14</v>
      </c>
      <c r="P12" s="7" t="s">
        <v>14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14</v>
      </c>
      <c r="W12" s="7" t="s">
        <v>14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38</v>
      </c>
      <c r="AC12" s="7" t="s">
        <v>38</v>
      </c>
      <c r="AD12" s="7" t="s">
        <v>49</v>
      </c>
      <c r="AE12" s="7"/>
      <c r="AF12" s="7"/>
      <c r="AG12" s="7"/>
      <c r="AH12" s="7" t="s">
        <v>14</v>
      </c>
      <c r="AI12" s="7" t="s">
        <v>164</v>
      </c>
      <c r="AJ12" s="7" t="s">
        <v>49</v>
      </c>
      <c r="AK12" s="7" t="s">
        <v>49</v>
      </c>
      <c r="AL12" s="7"/>
      <c r="AM12" s="7" t="s">
        <v>38</v>
      </c>
      <c r="AN12" s="7"/>
      <c r="AO12" s="7" t="s">
        <v>49</v>
      </c>
      <c r="AP12" s="7" t="s">
        <v>49</v>
      </c>
      <c r="AQ12" s="7" t="s">
        <v>165</v>
      </c>
      <c r="AR12" s="7" t="s">
        <v>49</v>
      </c>
      <c r="AS12" s="7" t="s">
        <v>49</v>
      </c>
      <c r="AT12" s="7"/>
      <c r="AU12" s="7"/>
      <c r="AV12" s="7" t="s">
        <v>103</v>
      </c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49</v>
      </c>
      <c r="BG12" s="7"/>
      <c r="BH12" s="7"/>
      <c r="BI12" s="7" t="s">
        <v>14</v>
      </c>
      <c r="BJ12" s="7"/>
      <c r="BK12" s="7" t="s">
        <v>49</v>
      </c>
      <c r="BL12" s="7" t="s">
        <v>38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14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49</v>
      </c>
      <c r="CF12" s="7"/>
      <c r="CG12" s="7"/>
      <c r="CH12" s="7"/>
      <c r="CI12" s="7"/>
      <c r="CJ12" s="7"/>
    </row>
    <row r="13" spans="1:88" x14ac:dyDescent="0.55000000000000004">
      <c r="A13" s="7" t="s">
        <v>32</v>
      </c>
      <c r="B13" s="7" t="s">
        <v>134</v>
      </c>
      <c r="C13" s="8">
        <v>43433</v>
      </c>
      <c r="D13" s="7"/>
      <c r="E13" s="7" t="s">
        <v>18</v>
      </c>
      <c r="F13" s="8">
        <v>37132</v>
      </c>
      <c r="G13" s="7" t="str">
        <f t="shared" si="2"/>
        <v>20010829</v>
      </c>
      <c r="H13" s="7" t="s">
        <v>31</v>
      </c>
      <c r="I13" s="7">
        <f t="shared" si="3"/>
        <v>27</v>
      </c>
      <c r="J13" s="7">
        <v>165.1</v>
      </c>
      <c r="K13" s="7" t="s">
        <v>161</v>
      </c>
      <c r="L13" s="7" t="s">
        <v>14</v>
      </c>
      <c r="M13" s="7" t="s">
        <v>14</v>
      </c>
      <c r="N13" s="7" t="s">
        <v>14</v>
      </c>
      <c r="O13" s="7" t="s">
        <v>38</v>
      </c>
      <c r="P13" s="7" t="s">
        <v>38</v>
      </c>
      <c r="Q13" s="7" t="s">
        <v>14</v>
      </c>
      <c r="R13" s="7" t="s">
        <v>14</v>
      </c>
      <c r="S13" s="7" t="s">
        <v>162</v>
      </c>
      <c r="T13" s="7" t="s">
        <v>14</v>
      </c>
      <c r="U13" s="7" t="s">
        <v>14</v>
      </c>
      <c r="V13" s="7" t="s">
        <v>38</v>
      </c>
      <c r="W13" s="7" t="s">
        <v>38</v>
      </c>
      <c r="X13" s="7" t="s">
        <v>14</v>
      </c>
      <c r="Y13" s="7" t="s">
        <v>14</v>
      </c>
      <c r="Z13" s="7" t="s">
        <v>103</v>
      </c>
      <c r="AA13" s="7" t="s">
        <v>163</v>
      </c>
      <c r="AB13" s="7" t="s">
        <v>29</v>
      </c>
      <c r="AC13" s="7" t="s">
        <v>29</v>
      </c>
      <c r="AD13" s="7"/>
      <c r="AE13" s="7" t="s">
        <v>49</v>
      </c>
      <c r="AF13" s="7" t="s">
        <v>103</v>
      </c>
      <c r="AG13" s="7"/>
      <c r="AH13" s="7"/>
      <c r="AI13" s="7" t="s">
        <v>164</v>
      </c>
      <c r="AJ13" s="7" t="s">
        <v>14</v>
      </c>
      <c r="AK13" s="7" t="s">
        <v>14</v>
      </c>
      <c r="AL13" s="7"/>
      <c r="AM13" s="7" t="s">
        <v>14</v>
      </c>
      <c r="AN13" s="7"/>
      <c r="AO13" s="7" t="s">
        <v>14</v>
      </c>
      <c r="AP13" s="7" t="s">
        <v>14</v>
      </c>
      <c r="AQ13" s="7" t="s">
        <v>165</v>
      </c>
      <c r="AR13" s="7" t="s">
        <v>49</v>
      </c>
      <c r="AS13" s="7" t="s">
        <v>14</v>
      </c>
      <c r="AT13" s="7" t="s">
        <v>103</v>
      </c>
      <c r="AU13" s="7"/>
      <c r="AV13" s="7"/>
      <c r="AW13" s="7" t="s">
        <v>166</v>
      </c>
      <c r="AX13" s="7" t="s">
        <v>14</v>
      </c>
      <c r="AY13" s="7" t="s">
        <v>14</v>
      </c>
      <c r="AZ13" s="7"/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38</v>
      </c>
      <c r="BG13" s="7"/>
      <c r="BH13" s="7"/>
      <c r="BI13" s="7" t="s">
        <v>14</v>
      </c>
      <c r="BJ13" s="7"/>
      <c r="BK13" s="7" t="s">
        <v>38</v>
      </c>
      <c r="BL13" s="7" t="s">
        <v>49</v>
      </c>
      <c r="BM13" s="7" t="s">
        <v>168</v>
      </c>
      <c r="BN13" s="7" t="s">
        <v>14</v>
      </c>
      <c r="BO13" s="7"/>
      <c r="BP13" s="7"/>
      <c r="BQ13" s="7" t="s">
        <v>103</v>
      </c>
      <c r="BR13" s="7"/>
      <c r="BS13" s="7" t="s">
        <v>103</v>
      </c>
      <c r="BT13" s="7" t="s">
        <v>103</v>
      </c>
      <c r="BU13" s="7"/>
      <c r="BV13" s="7" t="s">
        <v>169</v>
      </c>
      <c r="BW13" s="7" t="s">
        <v>49</v>
      </c>
      <c r="BX13" s="7"/>
      <c r="BY13" s="7"/>
      <c r="BZ13" s="7"/>
      <c r="CA13" s="7"/>
      <c r="CB13" s="7" t="s">
        <v>103</v>
      </c>
      <c r="CC13" s="7" t="s">
        <v>103</v>
      </c>
      <c r="CD13" s="7" t="s">
        <v>170</v>
      </c>
      <c r="CE13" s="7" t="s">
        <v>14</v>
      </c>
      <c r="CF13" s="7"/>
      <c r="CG13" s="7"/>
      <c r="CH13" s="7"/>
      <c r="CI13" s="7"/>
      <c r="CJ13" s="7"/>
    </row>
    <row r="14" spans="1:88" x14ac:dyDescent="0.55000000000000004">
      <c r="A14" s="7" t="s">
        <v>33</v>
      </c>
      <c r="B14" s="7" t="s">
        <v>135</v>
      </c>
      <c r="C14" s="8">
        <v>43877</v>
      </c>
      <c r="D14" s="7"/>
      <c r="E14" s="7" t="s">
        <v>18</v>
      </c>
      <c r="F14" s="8">
        <v>36903</v>
      </c>
      <c r="G14" s="7" t="str">
        <f t="shared" si="2"/>
        <v>20010112</v>
      </c>
      <c r="H14" s="7" t="s">
        <v>13</v>
      </c>
      <c r="I14" s="7">
        <f t="shared" si="3"/>
        <v>28</v>
      </c>
      <c r="J14" s="7">
        <v>158.4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 t="s">
        <v>29</v>
      </c>
      <c r="AE14" s="7" t="s">
        <v>29</v>
      </c>
      <c r="AF14" s="7"/>
      <c r="AG14" s="7"/>
      <c r="AH14" s="7"/>
      <c r="AI14" s="7" t="s">
        <v>164</v>
      </c>
      <c r="AJ14" s="7"/>
      <c r="AK14" s="7" t="s">
        <v>29</v>
      </c>
      <c r="AL14" s="7" t="s">
        <v>14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 t="s">
        <v>29</v>
      </c>
      <c r="AY14" s="7"/>
      <c r="AZ14" s="7" t="s">
        <v>103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38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/>
      <c r="CF14" s="7"/>
      <c r="CG14" s="7" t="s">
        <v>49</v>
      </c>
      <c r="CH14" s="7" t="s">
        <v>103</v>
      </c>
      <c r="CI14" s="7"/>
      <c r="CJ14" s="7"/>
    </row>
    <row r="15" spans="1:88" x14ac:dyDescent="0.55000000000000004">
      <c r="A15" s="7" t="s">
        <v>34</v>
      </c>
      <c r="B15" s="7" t="s">
        <v>136</v>
      </c>
      <c r="C15" s="8">
        <v>43433</v>
      </c>
      <c r="D15" s="7"/>
      <c r="E15" s="7" t="s">
        <v>18</v>
      </c>
      <c r="F15" s="8">
        <v>36446</v>
      </c>
      <c r="G15" s="7" t="str">
        <f t="shared" si="2"/>
        <v>19991013</v>
      </c>
      <c r="H15" s="7" t="s">
        <v>35</v>
      </c>
      <c r="I15" s="7">
        <f t="shared" si="3"/>
        <v>45</v>
      </c>
      <c r="J15" s="7">
        <v>159.5</v>
      </c>
      <c r="K15" s="7" t="s">
        <v>161</v>
      </c>
      <c r="L15" s="7" t="s">
        <v>29</v>
      </c>
      <c r="M15" s="7" t="s">
        <v>29</v>
      </c>
      <c r="N15" s="7" t="s">
        <v>29</v>
      </c>
      <c r="O15" s="7"/>
      <c r="P15" s="7"/>
      <c r="Q15" s="7"/>
      <c r="R15" s="7"/>
      <c r="S15" s="7" t="s">
        <v>162</v>
      </c>
      <c r="T15" s="7" t="s">
        <v>29</v>
      </c>
      <c r="U15" s="7" t="s">
        <v>29</v>
      </c>
      <c r="V15" s="7"/>
      <c r="W15" s="7"/>
      <c r="X15" s="7"/>
      <c r="Y15" s="7"/>
      <c r="Z15" s="7" t="s">
        <v>103</v>
      </c>
      <c r="AA15" s="7" t="s">
        <v>163</v>
      </c>
      <c r="AB15" s="7" t="s">
        <v>29</v>
      </c>
      <c r="AC15" s="7" t="s">
        <v>29</v>
      </c>
      <c r="AD15" s="7"/>
      <c r="AE15" s="7" t="s">
        <v>49</v>
      </c>
      <c r="AF15" s="7"/>
      <c r="AG15" s="7" t="s">
        <v>103</v>
      </c>
      <c r="AH15" s="7"/>
      <c r="AI15" s="7" t="s">
        <v>164</v>
      </c>
      <c r="AJ15" s="7" t="s">
        <v>29</v>
      </c>
      <c r="AK15" s="7" t="s">
        <v>29</v>
      </c>
      <c r="AL15" s="7" t="s">
        <v>49</v>
      </c>
      <c r="AM15" s="7"/>
      <c r="AN15" s="7"/>
      <c r="AO15" s="7"/>
      <c r="AP15" s="7" t="s">
        <v>29</v>
      </c>
      <c r="AQ15" s="7" t="s">
        <v>165</v>
      </c>
      <c r="AR15" s="7" t="s">
        <v>29</v>
      </c>
      <c r="AS15" s="7"/>
      <c r="AT15" s="7"/>
      <c r="AU15" s="7"/>
      <c r="AV15" s="7"/>
      <c r="AW15" s="7" t="s">
        <v>166</v>
      </c>
      <c r="AX15" s="7" t="s">
        <v>29</v>
      </c>
      <c r="AY15" s="7"/>
      <c r="AZ15" s="7" t="s">
        <v>38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49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 t="s">
        <v>29</v>
      </c>
      <c r="CF15" s="7"/>
      <c r="CG15" s="7"/>
      <c r="CH15" s="7"/>
      <c r="CI15" s="7" t="s">
        <v>103</v>
      </c>
      <c r="CJ15" s="7"/>
    </row>
    <row r="16" spans="1:88" x14ac:dyDescent="0.55000000000000004">
      <c r="A16" s="7" t="s">
        <v>36</v>
      </c>
      <c r="B16" s="7" t="s">
        <v>137</v>
      </c>
      <c r="C16" s="8">
        <v>43433</v>
      </c>
      <c r="D16" s="7"/>
      <c r="E16" s="7" t="s">
        <v>18</v>
      </c>
      <c r="F16" s="8">
        <v>37082</v>
      </c>
      <c r="G16" s="7" t="str">
        <f t="shared" si="2"/>
        <v>20010710</v>
      </c>
      <c r="H16" s="7" t="s">
        <v>37</v>
      </c>
      <c r="I16" s="7">
        <f t="shared" si="3"/>
        <v>40</v>
      </c>
      <c r="J16" s="7">
        <v>150.5</v>
      </c>
      <c r="K16" s="7" t="s">
        <v>161</v>
      </c>
      <c r="L16" s="7" t="s">
        <v>38</v>
      </c>
      <c r="M16" s="7" t="s">
        <v>38</v>
      </c>
      <c r="N16" s="7" t="s">
        <v>38</v>
      </c>
      <c r="O16" s="7" t="s">
        <v>14</v>
      </c>
      <c r="P16" s="7" t="s">
        <v>14</v>
      </c>
      <c r="Q16" s="7" t="s">
        <v>14</v>
      </c>
      <c r="R16" s="7" t="s">
        <v>14</v>
      </c>
      <c r="S16" s="7" t="s">
        <v>162</v>
      </c>
      <c r="T16" s="7" t="s">
        <v>38</v>
      </c>
      <c r="U16" s="7" t="s">
        <v>38</v>
      </c>
      <c r="V16" s="7" t="s">
        <v>14</v>
      </c>
      <c r="W16" s="7" t="s">
        <v>14</v>
      </c>
      <c r="X16" s="7" t="s">
        <v>14</v>
      </c>
      <c r="Y16" s="7" t="s">
        <v>14</v>
      </c>
      <c r="Z16" s="7" t="s">
        <v>103</v>
      </c>
      <c r="AA16" s="7" t="s">
        <v>163</v>
      </c>
      <c r="AB16" s="7" t="s">
        <v>49</v>
      </c>
      <c r="AC16" s="7" t="s">
        <v>49</v>
      </c>
      <c r="AD16" s="7" t="s">
        <v>38</v>
      </c>
      <c r="AE16" s="7"/>
      <c r="AF16" s="7"/>
      <c r="AG16" s="7"/>
      <c r="AH16" s="7" t="s">
        <v>49</v>
      </c>
      <c r="AI16" s="7" t="s">
        <v>164</v>
      </c>
      <c r="AJ16" s="7" t="s">
        <v>49</v>
      </c>
      <c r="AK16" s="7" t="s">
        <v>49</v>
      </c>
      <c r="AL16" s="7"/>
      <c r="AM16" s="7" t="s">
        <v>49</v>
      </c>
      <c r="AN16" s="7" t="s">
        <v>103</v>
      </c>
      <c r="AO16" s="7" t="s">
        <v>38</v>
      </c>
      <c r="AP16" s="7" t="s">
        <v>49</v>
      </c>
      <c r="AQ16" s="7" t="s">
        <v>165</v>
      </c>
      <c r="AR16" s="7" t="s">
        <v>38</v>
      </c>
      <c r="AS16" s="7" t="s">
        <v>14</v>
      </c>
      <c r="AT16" s="7" t="s">
        <v>103</v>
      </c>
      <c r="AU16" s="7"/>
      <c r="AV16" s="7"/>
      <c r="AW16" s="7" t="s">
        <v>166</v>
      </c>
      <c r="AX16" s="7" t="s">
        <v>14</v>
      </c>
      <c r="AY16" s="7" t="s">
        <v>14</v>
      </c>
      <c r="AZ16" s="7"/>
      <c r="BA16" s="7" t="s">
        <v>103</v>
      </c>
      <c r="BB16" s="7" t="s">
        <v>103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49</v>
      </c>
      <c r="BJ16" s="7"/>
      <c r="BK16" s="7" t="s">
        <v>49</v>
      </c>
      <c r="BL16" s="7" t="s">
        <v>49</v>
      </c>
      <c r="BM16" s="7" t="s">
        <v>168</v>
      </c>
      <c r="BN16" s="7" t="s">
        <v>38</v>
      </c>
      <c r="BO16" s="7"/>
      <c r="BP16" s="7"/>
      <c r="BQ16" s="7" t="s">
        <v>103</v>
      </c>
      <c r="BR16" s="7"/>
      <c r="BS16" s="7" t="s">
        <v>38</v>
      </c>
      <c r="BT16" s="7" t="s">
        <v>103</v>
      </c>
      <c r="BU16" s="7"/>
      <c r="BV16" s="7" t="s">
        <v>169</v>
      </c>
      <c r="BW16" s="7" t="s">
        <v>49</v>
      </c>
      <c r="BX16" s="7"/>
      <c r="BY16" s="7"/>
      <c r="BZ16" s="7"/>
      <c r="CA16" s="7" t="s">
        <v>103</v>
      </c>
      <c r="CB16" s="7"/>
      <c r="CC16" s="7" t="s">
        <v>103</v>
      </c>
      <c r="CD16" s="7" t="s">
        <v>170</v>
      </c>
      <c r="CE16" s="7" t="s">
        <v>14</v>
      </c>
      <c r="CF16" s="7"/>
      <c r="CG16" s="7"/>
      <c r="CH16" s="7"/>
      <c r="CI16" s="7"/>
      <c r="CJ16" s="7"/>
    </row>
    <row r="17" spans="1:88" x14ac:dyDescent="0.55000000000000004">
      <c r="A17" s="7" t="s">
        <v>39</v>
      </c>
      <c r="B17" s="7" t="s">
        <v>138</v>
      </c>
      <c r="C17" s="8">
        <v>43877</v>
      </c>
      <c r="D17" s="7"/>
      <c r="E17" s="7" t="s">
        <v>18</v>
      </c>
      <c r="F17" s="8">
        <v>36527</v>
      </c>
      <c r="G17" s="7" t="str">
        <f t="shared" si="2"/>
        <v>20000102</v>
      </c>
      <c r="H17" s="7" t="s">
        <v>16</v>
      </c>
      <c r="I17" s="7">
        <f t="shared" si="3"/>
        <v>13</v>
      </c>
      <c r="J17" s="7">
        <v>154</v>
      </c>
      <c r="K17" s="7" t="s">
        <v>161</v>
      </c>
      <c r="L17" s="7"/>
      <c r="M17" s="7"/>
      <c r="N17" s="7"/>
      <c r="O17" s="7"/>
      <c r="P17" s="7"/>
      <c r="Q17" s="7" t="s">
        <v>29</v>
      </c>
      <c r="R17" s="7" t="s">
        <v>29</v>
      </c>
      <c r="S17" s="7" t="s">
        <v>162</v>
      </c>
      <c r="T17" s="7" t="s">
        <v>29</v>
      </c>
      <c r="U17" s="7" t="s">
        <v>29</v>
      </c>
      <c r="V17" s="7"/>
      <c r="W17" s="7"/>
      <c r="X17" s="7"/>
      <c r="Y17" s="7"/>
      <c r="Z17" s="7" t="s">
        <v>103</v>
      </c>
      <c r="AA17" s="7" t="s">
        <v>163</v>
      </c>
      <c r="AB17" s="7" t="s">
        <v>29</v>
      </c>
      <c r="AC17" s="7" t="s">
        <v>29</v>
      </c>
      <c r="AD17" s="7"/>
      <c r="AE17" s="7" t="s">
        <v>49</v>
      </c>
      <c r="AF17" s="7"/>
      <c r="AG17" s="7"/>
      <c r="AH17" s="7"/>
      <c r="AI17" s="7" t="s">
        <v>164</v>
      </c>
      <c r="AJ17" s="7" t="s">
        <v>14</v>
      </c>
      <c r="AK17" s="7" t="s">
        <v>14</v>
      </c>
      <c r="AL17" s="7"/>
      <c r="AM17" s="7" t="s">
        <v>14</v>
      </c>
      <c r="AN17" s="7" t="s">
        <v>103</v>
      </c>
      <c r="AO17" s="7" t="s">
        <v>14</v>
      </c>
      <c r="AP17" s="7" t="s">
        <v>14</v>
      </c>
      <c r="AQ17" s="7" t="s">
        <v>165</v>
      </c>
      <c r="AR17" s="7" t="s">
        <v>14</v>
      </c>
      <c r="AS17" s="7" t="s">
        <v>49</v>
      </c>
      <c r="AT17" s="7"/>
      <c r="AU17" s="7"/>
      <c r="AV17" s="7" t="s">
        <v>103</v>
      </c>
      <c r="AW17" s="7" t="s">
        <v>166</v>
      </c>
      <c r="AX17" s="7" t="s">
        <v>38</v>
      </c>
      <c r="AY17" s="7" t="s">
        <v>14</v>
      </c>
      <c r="AZ17" s="7"/>
      <c r="BA17" s="7" t="s">
        <v>38</v>
      </c>
      <c r="BB17" s="7" t="s">
        <v>38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14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/>
      <c r="BR17" s="7"/>
      <c r="BS17" s="7" t="s">
        <v>103</v>
      </c>
      <c r="BT17" s="7" t="s">
        <v>103</v>
      </c>
      <c r="BU17" s="7"/>
      <c r="BV17" s="7" t="s">
        <v>169</v>
      </c>
      <c r="BW17" s="7" t="s">
        <v>14</v>
      </c>
      <c r="BX17" s="7"/>
      <c r="BY17" s="7"/>
      <c r="BZ17" s="7"/>
      <c r="CA17" s="7"/>
      <c r="CB17" s="7"/>
      <c r="CC17" s="7" t="s">
        <v>103</v>
      </c>
      <c r="CD17" s="7" t="s">
        <v>170</v>
      </c>
      <c r="CE17" s="7" t="s">
        <v>49</v>
      </c>
      <c r="CF17" s="7"/>
      <c r="CG17" s="7"/>
      <c r="CH17" s="7"/>
      <c r="CI17" s="7"/>
      <c r="CJ17" s="7"/>
    </row>
    <row r="18" spans="1:88" x14ac:dyDescent="0.55000000000000004">
      <c r="A18" s="7" t="s">
        <v>104</v>
      </c>
      <c r="B18" s="7" t="s">
        <v>139</v>
      </c>
      <c r="C18" s="8">
        <v>43433</v>
      </c>
      <c r="D18" s="7"/>
      <c r="E18" s="7" t="s">
        <v>18</v>
      </c>
      <c r="F18" s="8">
        <v>38623</v>
      </c>
      <c r="G18" s="7" t="str">
        <f t="shared" si="2"/>
        <v>20050928</v>
      </c>
      <c r="H18" s="7" t="s">
        <v>31</v>
      </c>
      <c r="I18" s="7">
        <f t="shared" si="3"/>
        <v>27</v>
      </c>
      <c r="J18" s="7">
        <v>168.4</v>
      </c>
      <c r="K18" s="7" t="s">
        <v>161</v>
      </c>
      <c r="L18" s="7" t="s">
        <v>14</v>
      </c>
      <c r="M18" s="7" t="s">
        <v>14</v>
      </c>
      <c r="N18" s="7" t="s">
        <v>14</v>
      </c>
      <c r="O18" s="7" t="s">
        <v>14</v>
      </c>
      <c r="P18" s="7" t="s">
        <v>14</v>
      </c>
      <c r="Q18" s="7" t="s">
        <v>38</v>
      </c>
      <c r="R18" s="7" t="s">
        <v>38</v>
      </c>
      <c r="S18" s="7" t="s">
        <v>162</v>
      </c>
      <c r="T18" s="7" t="s">
        <v>14</v>
      </c>
      <c r="U18" s="7" t="s">
        <v>14</v>
      </c>
      <c r="V18" s="7" t="s">
        <v>14</v>
      </c>
      <c r="W18" s="7" t="s">
        <v>14</v>
      </c>
      <c r="X18" s="7" t="s">
        <v>38</v>
      </c>
      <c r="Y18" s="7" t="s">
        <v>38</v>
      </c>
      <c r="Z18" s="7" t="s">
        <v>103</v>
      </c>
      <c r="AA18" s="7" t="s">
        <v>163</v>
      </c>
      <c r="AB18" s="7" t="s">
        <v>49</v>
      </c>
      <c r="AC18" s="7" t="s">
        <v>49</v>
      </c>
      <c r="AD18" s="7" t="s">
        <v>49</v>
      </c>
      <c r="AE18" s="7"/>
      <c r="AF18" s="7"/>
      <c r="AG18" s="7"/>
      <c r="AH18" s="7" t="s">
        <v>49</v>
      </c>
      <c r="AI18" s="7" t="s">
        <v>164</v>
      </c>
      <c r="AJ18" s="7" t="s">
        <v>38</v>
      </c>
      <c r="AK18" s="7" t="s">
        <v>14</v>
      </c>
      <c r="AL18" s="7"/>
      <c r="AM18" s="7" t="s">
        <v>49</v>
      </c>
      <c r="AN18" s="7" t="s">
        <v>103</v>
      </c>
      <c r="AO18" s="7" t="s">
        <v>49</v>
      </c>
      <c r="AP18" s="7" t="s">
        <v>38</v>
      </c>
      <c r="AQ18" s="7" t="s">
        <v>165</v>
      </c>
      <c r="AR18" s="7" t="s">
        <v>38</v>
      </c>
      <c r="AS18" s="7" t="s">
        <v>38</v>
      </c>
      <c r="AT18" s="7"/>
      <c r="AU18" s="7"/>
      <c r="AV18" s="7"/>
      <c r="AW18" s="7" t="s">
        <v>166</v>
      </c>
      <c r="AX18" s="7" t="s">
        <v>14</v>
      </c>
      <c r="AY18" s="7" t="s">
        <v>14</v>
      </c>
      <c r="AZ18" s="7"/>
      <c r="BA18" s="7" t="s">
        <v>103</v>
      </c>
      <c r="BB18" s="7" t="s">
        <v>103</v>
      </c>
      <c r="BC18" s="7"/>
      <c r="BD18" s="7" t="s">
        <v>103</v>
      </c>
      <c r="BE18" s="7" t="s">
        <v>167</v>
      </c>
      <c r="BF18" s="7" t="s">
        <v>49</v>
      </c>
      <c r="BG18" s="7"/>
      <c r="BH18" s="7"/>
      <c r="BI18" s="7" t="s">
        <v>49</v>
      </c>
      <c r="BJ18" s="7"/>
      <c r="BK18" s="7" t="s">
        <v>49</v>
      </c>
      <c r="BL18" s="7" t="s">
        <v>49</v>
      </c>
      <c r="BM18" s="7" t="s">
        <v>168</v>
      </c>
      <c r="BN18" s="7" t="s">
        <v>14</v>
      </c>
      <c r="BO18" s="7"/>
      <c r="BP18" s="7"/>
      <c r="BQ18" s="7" t="s">
        <v>38</v>
      </c>
      <c r="BR18" s="7"/>
      <c r="BS18" s="7" t="s">
        <v>103</v>
      </c>
      <c r="BT18" s="7" t="s">
        <v>103</v>
      </c>
      <c r="BU18" s="7"/>
      <c r="BV18" s="7" t="s">
        <v>169</v>
      </c>
      <c r="BW18" s="7" t="s">
        <v>38</v>
      </c>
      <c r="BX18" s="7"/>
      <c r="BY18" s="7"/>
      <c r="BZ18" s="7" t="s">
        <v>103</v>
      </c>
      <c r="CA18" s="7"/>
      <c r="CB18" s="7"/>
      <c r="CC18" s="7" t="s">
        <v>103</v>
      </c>
      <c r="CD18" s="7" t="s">
        <v>170</v>
      </c>
      <c r="CE18" s="7" t="s">
        <v>14</v>
      </c>
      <c r="CF18" s="7"/>
      <c r="CG18" s="7"/>
      <c r="CH18" s="7"/>
      <c r="CI18" s="7"/>
      <c r="CJ18" s="7"/>
    </row>
    <row r="19" spans="1:88" x14ac:dyDescent="0.55000000000000004">
      <c r="A19" s="7" t="s">
        <v>40</v>
      </c>
      <c r="B19" s="7" t="s">
        <v>140</v>
      </c>
      <c r="C19" s="8">
        <v>44931</v>
      </c>
      <c r="D19" s="7"/>
      <c r="E19" s="7" t="s">
        <v>41</v>
      </c>
      <c r="F19" s="8">
        <v>37269</v>
      </c>
      <c r="G19" s="7" t="str">
        <f t="shared" si="2"/>
        <v>20020113</v>
      </c>
      <c r="H19" s="7" t="s">
        <v>42</v>
      </c>
      <c r="I19" s="7">
        <f t="shared" si="3"/>
        <v>10</v>
      </c>
      <c r="J19" s="7">
        <v>159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49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29</v>
      </c>
      <c r="CG19" s="7" t="s">
        <v>38</v>
      </c>
      <c r="CH19" s="7"/>
      <c r="CI19" s="7"/>
      <c r="CJ19" s="7"/>
    </row>
    <row r="20" spans="1:88" x14ac:dyDescent="0.55000000000000004">
      <c r="A20" s="7" t="s">
        <v>43</v>
      </c>
      <c r="B20" s="7" t="s">
        <v>141</v>
      </c>
      <c r="C20" s="8">
        <v>44931</v>
      </c>
      <c r="D20" s="7"/>
      <c r="E20" s="7" t="s">
        <v>41</v>
      </c>
      <c r="F20" s="8">
        <v>38726</v>
      </c>
      <c r="G20" s="7" t="str">
        <f t="shared" si="2"/>
        <v>20060109</v>
      </c>
      <c r="H20" s="7" t="s">
        <v>44</v>
      </c>
      <c r="I20" s="7">
        <f t="shared" si="3"/>
        <v>11</v>
      </c>
      <c r="J20" s="7">
        <v>155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14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105</v>
      </c>
      <c r="B21" s="7" t="s">
        <v>142</v>
      </c>
      <c r="C21" s="8">
        <v>44931</v>
      </c>
      <c r="D21" s="7"/>
      <c r="E21" s="7" t="s">
        <v>41</v>
      </c>
      <c r="F21" s="8">
        <v>38193</v>
      </c>
      <c r="G21" s="7" t="str">
        <f t="shared" si="2"/>
        <v>20040725</v>
      </c>
      <c r="H21" s="7" t="s">
        <v>16</v>
      </c>
      <c r="I21" s="7">
        <f t="shared" si="3"/>
        <v>13</v>
      </c>
      <c r="J21" s="7">
        <v>163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29</v>
      </c>
      <c r="BH21" s="7"/>
      <c r="BI21" s="7"/>
      <c r="BJ21" s="7" t="s">
        <v>14</v>
      </c>
      <c r="BK21" s="7"/>
      <c r="BL21" s="7"/>
      <c r="BM21" s="7" t="s">
        <v>168</v>
      </c>
      <c r="BN21" s="7"/>
      <c r="BO21" s="7" t="s">
        <v>14</v>
      </c>
      <c r="BP21" s="7" t="s">
        <v>14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/>
      <c r="CA21" s="7"/>
      <c r="CB21" s="7"/>
      <c r="CC21" s="7"/>
      <c r="CD21" s="7" t="s">
        <v>170</v>
      </c>
      <c r="CE21" s="7"/>
      <c r="CF21" s="7" t="s">
        <v>14</v>
      </c>
      <c r="CG21" s="7" t="s">
        <v>29</v>
      </c>
      <c r="CH21" s="7"/>
      <c r="CI21" s="7"/>
      <c r="CJ21" s="7"/>
    </row>
    <row r="22" spans="1:88" x14ac:dyDescent="0.55000000000000004">
      <c r="A22" s="7" t="s">
        <v>106</v>
      </c>
      <c r="B22" s="7" t="s">
        <v>143</v>
      </c>
      <c r="C22" s="8">
        <v>44931</v>
      </c>
      <c r="D22" s="7"/>
      <c r="E22" s="7" t="s">
        <v>41</v>
      </c>
      <c r="F22" s="8">
        <v>38540</v>
      </c>
      <c r="G22" s="7" t="str">
        <f t="shared" si="2"/>
        <v>20050707</v>
      </c>
      <c r="H22" s="7" t="s">
        <v>45</v>
      </c>
      <c r="I22" s="7">
        <f t="shared" si="3"/>
        <v>20</v>
      </c>
      <c r="J22" s="7">
        <v>165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177</v>
      </c>
      <c r="BE22" s="7" t="s">
        <v>167</v>
      </c>
      <c r="BF22" s="7"/>
      <c r="BG22" s="7" t="s">
        <v>49</v>
      </c>
      <c r="BH22" s="7"/>
      <c r="BI22" s="7"/>
      <c r="BJ22" s="7" t="s">
        <v>29</v>
      </c>
      <c r="BK22" s="7"/>
      <c r="BL22" s="7"/>
      <c r="BM22" s="7" t="s">
        <v>168</v>
      </c>
      <c r="BN22" s="7"/>
      <c r="BO22" s="7" t="s">
        <v>38</v>
      </c>
      <c r="BP22" s="7" t="s">
        <v>29</v>
      </c>
      <c r="BQ22" s="7"/>
      <c r="BR22" s="7"/>
      <c r="BS22" s="7"/>
      <c r="BT22" s="7"/>
      <c r="BU22" s="7"/>
      <c r="BV22" s="7" t="s">
        <v>169</v>
      </c>
      <c r="BW22" s="7"/>
      <c r="BX22" s="7" t="s">
        <v>103</v>
      </c>
      <c r="BY22" s="7" t="s">
        <v>103</v>
      </c>
      <c r="BZ22" s="7" t="s">
        <v>103</v>
      </c>
      <c r="CA22" s="7"/>
      <c r="CB22" s="7"/>
      <c r="CC22" s="7"/>
      <c r="CD22" s="7" t="s">
        <v>170</v>
      </c>
      <c r="CE22" s="7"/>
      <c r="CF22" s="7" t="s">
        <v>14</v>
      </c>
      <c r="CG22" s="7" t="s">
        <v>14</v>
      </c>
      <c r="CH22" s="7"/>
      <c r="CI22" s="7"/>
      <c r="CJ22" s="7"/>
    </row>
    <row r="23" spans="1:88" x14ac:dyDescent="0.55000000000000004">
      <c r="A23" s="7" t="s">
        <v>107</v>
      </c>
      <c r="B23" s="7" t="s">
        <v>144</v>
      </c>
      <c r="C23" s="8">
        <v>44931</v>
      </c>
      <c r="D23" s="7"/>
      <c r="E23" s="7" t="s">
        <v>41</v>
      </c>
      <c r="F23" s="8">
        <v>38454</v>
      </c>
      <c r="G23" s="7" t="str">
        <f t="shared" si="2"/>
        <v>20050412</v>
      </c>
      <c r="H23" s="7" t="s">
        <v>46</v>
      </c>
      <c r="I23" s="7">
        <f t="shared" si="3"/>
        <v>35</v>
      </c>
      <c r="J23" s="7">
        <v>151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38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29</v>
      </c>
      <c r="BK23" s="7"/>
      <c r="BL23" s="7"/>
      <c r="BM23" s="7" t="s">
        <v>168</v>
      </c>
      <c r="BN23" s="7" t="s">
        <v>49</v>
      </c>
      <c r="BO23" s="7" t="s">
        <v>29</v>
      </c>
      <c r="BP23" s="7"/>
      <c r="BQ23" s="7"/>
      <c r="BR23" s="7" t="s">
        <v>103</v>
      </c>
      <c r="BS23" s="7" t="s">
        <v>103</v>
      </c>
      <c r="BT23" s="7"/>
      <c r="BU23" s="7"/>
      <c r="BV23" s="7" t="s">
        <v>169</v>
      </c>
      <c r="BW23" s="7" t="s">
        <v>14</v>
      </c>
      <c r="BX23" s="7"/>
      <c r="BY23" s="7" t="s">
        <v>103</v>
      </c>
      <c r="BZ23" s="7"/>
      <c r="CA23" s="7" t="s">
        <v>103</v>
      </c>
      <c r="CB23" s="7"/>
      <c r="CC23" s="7" t="s">
        <v>103</v>
      </c>
      <c r="CD23" s="7" t="s">
        <v>170</v>
      </c>
      <c r="CE23" s="7" t="s">
        <v>29</v>
      </c>
      <c r="CF23" s="7" t="s">
        <v>14</v>
      </c>
      <c r="CG23" s="7"/>
      <c r="CH23" s="7"/>
      <c r="CI23" s="7"/>
      <c r="CJ23" s="7"/>
    </row>
    <row r="24" spans="1:88" x14ac:dyDescent="0.55000000000000004">
      <c r="A24" s="7" t="s">
        <v>108</v>
      </c>
      <c r="B24" s="7" t="s">
        <v>145</v>
      </c>
      <c r="C24" s="8">
        <v>44931</v>
      </c>
      <c r="D24" s="7"/>
      <c r="E24" s="7" t="s">
        <v>41</v>
      </c>
      <c r="F24" s="8">
        <v>37669</v>
      </c>
      <c r="G24" s="7" t="str">
        <f t="shared" si="2"/>
        <v>20030217</v>
      </c>
      <c r="H24" s="7" t="s">
        <v>37</v>
      </c>
      <c r="I24" s="7">
        <f t="shared" si="3"/>
        <v>40</v>
      </c>
      <c r="J24" s="7">
        <v>162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177</v>
      </c>
      <c r="BE24" s="7" t="s">
        <v>167</v>
      </c>
      <c r="BF24" s="7"/>
      <c r="BG24" s="7" t="s">
        <v>14</v>
      </c>
      <c r="BH24" s="7"/>
      <c r="BI24" s="7"/>
      <c r="BJ24" s="7" t="s">
        <v>38</v>
      </c>
      <c r="BK24" s="7"/>
      <c r="BL24" s="7"/>
      <c r="BM24" s="7" t="s">
        <v>168</v>
      </c>
      <c r="BN24" s="7" t="s">
        <v>29</v>
      </c>
      <c r="BO24" s="7" t="s">
        <v>29</v>
      </c>
      <c r="BP24" s="7"/>
      <c r="BQ24" s="7"/>
      <c r="BR24" s="7"/>
      <c r="BS24" s="7" t="s">
        <v>103</v>
      </c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 t="s">
        <v>103</v>
      </c>
      <c r="CC24" s="7" t="s">
        <v>103</v>
      </c>
      <c r="CD24" s="7" t="s">
        <v>170</v>
      </c>
      <c r="CE24" s="7" t="s">
        <v>29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109</v>
      </c>
      <c r="B25" s="7" t="s">
        <v>146</v>
      </c>
      <c r="C25" s="8">
        <v>44931</v>
      </c>
      <c r="D25" s="7"/>
      <c r="E25" s="7" t="s">
        <v>41</v>
      </c>
      <c r="F25" s="8">
        <v>39029</v>
      </c>
      <c r="G25" s="7" t="str">
        <f t="shared" si="2"/>
        <v>20061108</v>
      </c>
      <c r="H25" s="7" t="s">
        <v>37</v>
      </c>
      <c r="I25" s="7">
        <f t="shared" si="3"/>
        <v>40</v>
      </c>
      <c r="J25" s="7">
        <v>166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49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14</v>
      </c>
      <c r="BP25" s="7" t="s">
        <v>49</v>
      </c>
      <c r="BQ25" s="7"/>
      <c r="BR25" s="7" t="s">
        <v>38</v>
      </c>
      <c r="BS25" s="7"/>
      <c r="BT25" s="7"/>
      <c r="BU25" s="7"/>
      <c r="BV25" s="7" t="s">
        <v>169</v>
      </c>
      <c r="BW25" s="7" t="s">
        <v>29</v>
      </c>
      <c r="BX25" s="7"/>
      <c r="BY25" s="7" t="s">
        <v>103</v>
      </c>
      <c r="BZ25" s="7"/>
      <c r="CA25" s="7"/>
      <c r="CB25" s="7"/>
      <c r="CC25" s="7" t="s">
        <v>103</v>
      </c>
      <c r="CD25" s="7" t="s">
        <v>170</v>
      </c>
      <c r="CE25" s="7" t="s">
        <v>14</v>
      </c>
      <c r="CF25" s="7" t="s">
        <v>29</v>
      </c>
      <c r="CG25" s="7"/>
      <c r="CH25" s="7"/>
      <c r="CI25" s="7"/>
      <c r="CJ25" s="7"/>
    </row>
    <row r="26" spans="1:88" x14ac:dyDescent="0.55000000000000004">
      <c r="A26" s="7" t="s">
        <v>110</v>
      </c>
      <c r="B26" s="7" t="s">
        <v>147</v>
      </c>
      <c r="C26" s="8">
        <v>44931</v>
      </c>
      <c r="D26" s="7"/>
      <c r="E26" s="7" t="s">
        <v>41</v>
      </c>
      <c r="F26" s="8">
        <v>38846</v>
      </c>
      <c r="G26" s="7" t="str">
        <f t="shared" si="2"/>
        <v>20060509</v>
      </c>
      <c r="H26" s="7" t="s">
        <v>47</v>
      </c>
      <c r="I26" s="7">
        <f t="shared" si="3"/>
        <v>34</v>
      </c>
      <c r="J26" s="7">
        <v>163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29</v>
      </c>
      <c r="BH26" s="7"/>
      <c r="BI26" s="7"/>
      <c r="BJ26" s="7" t="s">
        <v>49</v>
      </c>
      <c r="BK26" s="7"/>
      <c r="BL26" s="7"/>
      <c r="BM26" s="7" t="s">
        <v>168</v>
      </c>
      <c r="BN26" s="7"/>
      <c r="BO26" s="7" t="s">
        <v>49</v>
      </c>
      <c r="BP26" s="7" t="s">
        <v>29</v>
      </c>
      <c r="BQ26" s="7"/>
      <c r="BR26" s="7"/>
      <c r="BS26" s="7"/>
      <c r="BT26" s="7"/>
      <c r="BU26" s="7"/>
      <c r="BV26" s="7" t="s">
        <v>169</v>
      </c>
      <c r="BW26" s="7"/>
      <c r="BX26" s="7" t="s">
        <v>103</v>
      </c>
      <c r="BY26" s="7" t="s">
        <v>103</v>
      </c>
      <c r="BZ26" s="7" t="s">
        <v>103</v>
      </c>
      <c r="CA26" s="7"/>
      <c r="CB26" s="7"/>
      <c r="CC26" s="7"/>
      <c r="CD26" s="7" t="s">
        <v>170</v>
      </c>
      <c r="CE26" s="7"/>
      <c r="CF26" s="7" t="s">
        <v>38</v>
      </c>
      <c r="CG26" s="7" t="s">
        <v>14</v>
      </c>
      <c r="CH26" s="7"/>
      <c r="CI26" s="7"/>
      <c r="CJ26" s="7"/>
    </row>
    <row r="27" spans="1:88" x14ac:dyDescent="0.55000000000000004">
      <c r="A27" s="7" t="s">
        <v>111</v>
      </c>
      <c r="B27" s="7" t="s">
        <v>148</v>
      </c>
      <c r="C27" s="8">
        <v>44931</v>
      </c>
      <c r="D27" s="7"/>
      <c r="E27" s="7" t="s">
        <v>41</v>
      </c>
      <c r="F27" s="8">
        <v>38217</v>
      </c>
      <c r="G27" s="7" t="str">
        <f t="shared" si="2"/>
        <v>20040818</v>
      </c>
      <c r="H27" s="7" t="s">
        <v>16</v>
      </c>
      <c r="I27" s="7">
        <f t="shared" si="3"/>
        <v>13</v>
      </c>
      <c r="J27" s="7">
        <v>156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177</v>
      </c>
      <c r="BE27" s="7" t="s">
        <v>167</v>
      </c>
      <c r="BF27" s="7"/>
      <c r="BG27" s="7" t="s">
        <v>49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29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/>
      <c r="CB27" s="7" t="s">
        <v>103</v>
      </c>
      <c r="CC27" s="7" t="s">
        <v>103</v>
      </c>
      <c r="CD27" s="7" t="s">
        <v>170</v>
      </c>
      <c r="CE27" s="7" t="s">
        <v>29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112</v>
      </c>
      <c r="B28" s="7" t="s">
        <v>149</v>
      </c>
      <c r="C28" s="8">
        <v>44931</v>
      </c>
      <c r="D28" s="7"/>
      <c r="E28" s="7" t="s">
        <v>41</v>
      </c>
      <c r="F28" s="8">
        <v>38398</v>
      </c>
      <c r="G28" s="7" t="str">
        <f t="shared" si="2"/>
        <v>20050215</v>
      </c>
      <c r="H28" s="7" t="s">
        <v>16</v>
      </c>
      <c r="I28" s="7">
        <f t="shared" si="3"/>
        <v>13</v>
      </c>
      <c r="J28" s="7">
        <v>168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49</v>
      </c>
      <c r="BD28" s="7" t="s">
        <v>177</v>
      </c>
      <c r="BE28" s="7" t="s">
        <v>167</v>
      </c>
      <c r="BF28" s="7"/>
      <c r="BG28" s="7" t="s">
        <v>14</v>
      </c>
      <c r="BH28" s="7"/>
      <c r="BI28" s="7"/>
      <c r="BJ28" s="7" t="s">
        <v>14</v>
      </c>
      <c r="BK28" s="7"/>
      <c r="BL28" s="7"/>
      <c r="BM28" s="7" t="s">
        <v>168</v>
      </c>
      <c r="BN28" s="7"/>
      <c r="BO28" s="7" t="s">
        <v>14</v>
      </c>
      <c r="BP28" s="7" t="s">
        <v>49</v>
      </c>
      <c r="BQ28" s="7"/>
      <c r="BR28" s="7" t="s">
        <v>103</v>
      </c>
      <c r="BS28" s="7"/>
      <c r="BT28" s="7"/>
      <c r="BU28" s="7"/>
      <c r="BV28" s="7" t="s">
        <v>169</v>
      </c>
      <c r="BW28" s="7"/>
      <c r="BX28" s="7" t="s">
        <v>103</v>
      </c>
      <c r="BY28" s="7" t="s">
        <v>38</v>
      </c>
      <c r="BZ28" s="7"/>
      <c r="CA28" s="7"/>
      <c r="CB28" s="7"/>
      <c r="CC28" s="7"/>
      <c r="CD28" s="7" t="s">
        <v>170</v>
      </c>
      <c r="CE28" s="7" t="s">
        <v>29</v>
      </c>
      <c r="CF28" s="7" t="s">
        <v>29</v>
      </c>
      <c r="CG28" s="7"/>
      <c r="CH28" s="7"/>
      <c r="CI28" s="7"/>
      <c r="CJ28" s="7"/>
    </row>
    <row r="29" spans="1:88" x14ac:dyDescent="0.55000000000000004">
      <c r="A29" s="7" t="s">
        <v>113</v>
      </c>
      <c r="B29" s="7" t="s">
        <v>150</v>
      </c>
      <c r="C29" s="8">
        <v>44931</v>
      </c>
      <c r="D29" s="7"/>
      <c r="E29" s="7" t="s">
        <v>41</v>
      </c>
      <c r="F29" s="8">
        <v>38374</v>
      </c>
      <c r="G29" s="7" t="str">
        <f t="shared" si="2"/>
        <v>20050122</v>
      </c>
      <c r="H29" s="7" t="s">
        <v>48</v>
      </c>
      <c r="I29" s="7">
        <f t="shared" si="3"/>
        <v>26</v>
      </c>
      <c r="J29" s="7">
        <v>152</v>
      </c>
      <c r="K29" s="7" t="s">
        <v>161</v>
      </c>
      <c r="L29" s="7" t="s">
        <v>177</v>
      </c>
      <c r="M29" s="7" t="s">
        <v>177</v>
      </c>
      <c r="N29" s="7" t="s">
        <v>177</v>
      </c>
      <c r="O29" s="7" t="s">
        <v>177</v>
      </c>
      <c r="P29" s="7" t="s">
        <v>177</v>
      </c>
      <c r="Q29" s="7" t="s">
        <v>177</v>
      </c>
      <c r="R29" s="7" t="s">
        <v>177</v>
      </c>
      <c r="S29" s="7" t="s">
        <v>162</v>
      </c>
      <c r="T29" s="7" t="s">
        <v>177</v>
      </c>
      <c r="U29" s="7" t="s">
        <v>177</v>
      </c>
      <c r="V29" s="7" t="s">
        <v>177</v>
      </c>
      <c r="W29" s="7" t="s">
        <v>177</v>
      </c>
      <c r="X29" s="7" t="s">
        <v>177</v>
      </c>
      <c r="Y29" s="7" t="s">
        <v>177</v>
      </c>
      <c r="Z29" s="7" t="s">
        <v>177</v>
      </c>
      <c r="AA29" s="7" t="s">
        <v>163</v>
      </c>
      <c r="AB29" s="7" t="s">
        <v>177</v>
      </c>
      <c r="AC29" s="7" t="s">
        <v>177</v>
      </c>
      <c r="AD29" s="7" t="s">
        <v>177</v>
      </c>
      <c r="AE29" s="7" t="s">
        <v>177</v>
      </c>
      <c r="AF29" s="7" t="s">
        <v>177</v>
      </c>
      <c r="AG29" s="7" t="s">
        <v>177</v>
      </c>
      <c r="AH29" s="7" t="s">
        <v>177</v>
      </c>
      <c r="AI29" s="7" t="s">
        <v>164</v>
      </c>
      <c r="AJ29" s="7" t="s">
        <v>177</v>
      </c>
      <c r="AK29" s="7" t="s">
        <v>177</v>
      </c>
      <c r="AL29" s="7" t="s">
        <v>177</v>
      </c>
      <c r="AM29" s="7" t="s">
        <v>177</v>
      </c>
      <c r="AN29" s="7" t="s">
        <v>177</v>
      </c>
      <c r="AO29" s="7" t="s">
        <v>177</v>
      </c>
      <c r="AP29" s="7" t="s">
        <v>177</v>
      </c>
      <c r="AQ29" s="7" t="s">
        <v>165</v>
      </c>
      <c r="AR29" s="7" t="s">
        <v>177</v>
      </c>
      <c r="AS29" s="7" t="s">
        <v>177</v>
      </c>
      <c r="AT29" s="7" t="s">
        <v>177</v>
      </c>
      <c r="AU29" s="7" t="s">
        <v>177</v>
      </c>
      <c r="AV29" s="7" t="s">
        <v>177</v>
      </c>
      <c r="AW29" s="7" t="s">
        <v>166</v>
      </c>
      <c r="AX29" s="7"/>
      <c r="AY29" s="7"/>
      <c r="AZ29" s="7"/>
      <c r="BA29" s="7"/>
      <c r="BB29" s="7"/>
      <c r="BC29" s="7" t="s">
        <v>14</v>
      </c>
      <c r="BD29" s="7" t="s">
        <v>177</v>
      </c>
      <c r="BE29" s="7" t="s">
        <v>167</v>
      </c>
      <c r="BF29" s="7"/>
      <c r="BG29" s="7" t="s">
        <v>38</v>
      </c>
      <c r="BH29" s="7"/>
      <c r="BI29" s="7"/>
      <c r="BJ29" s="7" t="s">
        <v>29</v>
      </c>
      <c r="BK29" s="7"/>
      <c r="BL29" s="7"/>
      <c r="BM29" s="7" t="s">
        <v>168</v>
      </c>
      <c r="BN29" s="7" t="s">
        <v>49</v>
      </c>
      <c r="BO29" s="7" t="s">
        <v>29</v>
      </c>
      <c r="BP29" s="7"/>
      <c r="BQ29" s="7"/>
      <c r="BR29" s="7" t="s">
        <v>103</v>
      </c>
      <c r="BS29" s="7" t="s">
        <v>103</v>
      </c>
      <c r="BT29" s="7"/>
      <c r="BU29" s="7"/>
      <c r="BV29" s="7" t="s">
        <v>169</v>
      </c>
      <c r="BW29" s="7" t="s">
        <v>14</v>
      </c>
      <c r="BX29" s="7"/>
      <c r="BY29" s="7" t="s">
        <v>103</v>
      </c>
      <c r="BZ29" s="7"/>
      <c r="CA29" s="7" t="s">
        <v>103</v>
      </c>
      <c r="CB29" s="7"/>
      <c r="CC29" s="7" t="s">
        <v>103</v>
      </c>
      <c r="CD29" s="7" t="s">
        <v>170</v>
      </c>
      <c r="CE29" s="7" t="s">
        <v>38</v>
      </c>
      <c r="CF29" s="7" t="s">
        <v>49</v>
      </c>
      <c r="CG29" s="7"/>
      <c r="CH29" s="7"/>
      <c r="CI29" s="7"/>
      <c r="CJ29" s="7"/>
    </row>
    <row r="30" spans="1:88" x14ac:dyDescent="0.55000000000000004">
      <c r="A30" s="29" t="s">
        <v>114</v>
      </c>
      <c r="B30" s="26" t="s">
        <v>151</v>
      </c>
      <c r="C30" s="21">
        <v>42237</v>
      </c>
      <c r="D30" s="21">
        <v>45323</v>
      </c>
      <c r="E30" s="20" t="s">
        <v>10</v>
      </c>
      <c r="F30" s="21">
        <v>36456</v>
      </c>
      <c r="G30" s="20" t="str">
        <f t="shared" ref="G30:G39" si="4">TEXT(F30, "yyyymmdd")</f>
        <v>19991023</v>
      </c>
      <c r="H30" s="20" t="s">
        <v>44</v>
      </c>
      <c r="I30" s="22">
        <f t="shared" ref="I30:I39" si="5">IF(H30="北海道",1,IF(H30="青森県",2,IF(H30="岩手県",3,IF(H30="宮城県",4,IF(H30="秋田県",5,IF(H30="山形県",6,IF(H30="福島県",7,IF(H30="茨城県",8,IF(H30="栃木県",9,IF(H30="群馬県",10,IF(H30="埼玉県",11,IF(H30="千葉県",12,IF(H30="東京都",13,IF(H30="神奈川県",14,IF(H30="新潟県",15,IF(H30="富山県",16,IF(H30="石川県",17,IF(H30="福井県",18,IF(H30="山梨県",19,IF(H30="長野県",20,IF(H30="岐阜県",21,IF(H30="静岡県",22,IF(H30="愛知県",23,IF(H30="三重県",24,IF(H30="滋賀県",25,IF(H30="京都府",26,IF(H30="大阪府",27,IF(H30="兵庫県",28,IF(H30="奈良県",29,IF(H30="和歌山県",30,IF(H30="鳥取県",31,IF(H30="島根県",32,IF(H30="岡山県",33,IF(H30="広島県",34,IF(H30="山口県",35,IF(H30="徳島県",36,IF(H30="香川県",37,IF(H30="愛媛県",38,IF(H30="高知県",39,IF(H30="福岡県",40,IF(H30="佐賀県",41,IF(H30="長崎県",42,IF(H30="熊本県",43,IF(H30="大分県",44,IF(H30="宮崎県",45,IF(H30="鹿児島県",46,IF(H30="沖縄県",47,"")))))))))))))))))))))))))))))))))))))))))))))))</f>
        <v>11</v>
      </c>
      <c r="J30" s="20">
        <v>161</v>
      </c>
      <c r="K30" s="23" t="s">
        <v>161</v>
      </c>
      <c r="L30" s="20" t="s">
        <v>49</v>
      </c>
      <c r="M30" s="20" t="s">
        <v>49</v>
      </c>
      <c r="N30" s="20" t="s">
        <v>49</v>
      </c>
      <c r="O30" s="20" t="s">
        <v>49</v>
      </c>
      <c r="P30" s="20" t="s">
        <v>49</v>
      </c>
      <c r="Q30" s="20" t="s">
        <v>49</v>
      </c>
      <c r="R30" s="20" t="s">
        <v>49</v>
      </c>
      <c r="S30" s="23" t="s">
        <v>162</v>
      </c>
      <c r="T30" s="20" t="s">
        <v>49</v>
      </c>
      <c r="U30" s="20" t="s">
        <v>49</v>
      </c>
      <c r="V30" s="20" t="s">
        <v>49</v>
      </c>
      <c r="W30" s="20" t="s">
        <v>49</v>
      </c>
      <c r="X30" s="20" t="s">
        <v>49</v>
      </c>
      <c r="Y30" s="20" t="s">
        <v>49</v>
      </c>
      <c r="Z30" s="20" t="s">
        <v>103</v>
      </c>
      <c r="AA30" s="23" t="s">
        <v>163</v>
      </c>
      <c r="AB30" s="20" t="s">
        <v>14</v>
      </c>
      <c r="AC30" s="20" t="s">
        <v>14</v>
      </c>
      <c r="AD30" s="20" t="s">
        <v>14</v>
      </c>
      <c r="AF30" s="20" t="s">
        <v>103</v>
      </c>
      <c r="AH30" s="20" t="s">
        <v>14</v>
      </c>
      <c r="AI30" s="23" t="s">
        <v>164</v>
      </c>
      <c r="AJ30" s="20" t="s">
        <v>14</v>
      </c>
      <c r="AK30" s="20" t="s">
        <v>49</v>
      </c>
      <c r="AM30" s="20" t="s">
        <v>14</v>
      </c>
      <c r="AO30" s="20" t="s">
        <v>14</v>
      </c>
      <c r="AP30" s="20" t="s">
        <v>14</v>
      </c>
      <c r="AQ30" s="23" t="s">
        <v>165</v>
      </c>
      <c r="AR30" s="20" t="s">
        <v>14</v>
      </c>
      <c r="AS30" s="20" t="s">
        <v>14</v>
      </c>
      <c r="AU30" s="20" t="s">
        <v>49</v>
      </c>
      <c r="AW30" s="23" t="s">
        <v>166</v>
      </c>
      <c r="AX30" s="20" t="s">
        <v>49</v>
      </c>
      <c r="AY30" s="20" t="s">
        <v>49</v>
      </c>
      <c r="BA30" s="20" t="s">
        <v>103</v>
      </c>
      <c r="BB30" s="20" t="s">
        <v>103</v>
      </c>
      <c r="BD30" s="20" t="s">
        <v>103</v>
      </c>
      <c r="BE30" s="23" t="s">
        <v>167</v>
      </c>
      <c r="BF30" s="20" t="s">
        <v>14</v>
      </c>
      <c r="BH30" s="20" t="s">
        <v>103</v>
      </c>
      <c r="BK30" s="20" t="s">
        <v>14</v>
      </c>
      <c r="BL30" s="20" t="s">
        <v>14</v>
      </c>
      <c r="BM30" s="23" t="s">
        <v>168</v>
      </c>
      <c r="BN30" s="20" t="s">
        <v>14</v>
      </c>
      <c r="BQ30" s="20" t="s">
        <v>103</v>
      </c>
      <c r="BS30" s="20" t="s">
        <v>103</v>
      </c>
      <c r="BT30" s="20" t="s">
        <v>38</v>
      </c>
      <c r="BU30" s="20" t="s">
        <v>103</v>
      </c>
      <c r="BV30" s="23" t="s">
        <v>169</v>
      </c>
      <c r="BW30" s="20" t="s">
        <v>199</v>
      </c>
      <c r="BX30" s="20" t="s">
        <v>199</v>
      </c>
      <c r="BY30" s="20" t="s">
        <v>199</v>
      </c>
      <c r="BZ30" s="20" t="s">
        <v>199</v>
      </c>
      <c r="CA30" s="20" t="s">
        <v>199</v>
      </c>
      <c r="CB30" s="20" t="s">
        <v>199</v>
      </c>
      <c r="CC30" s="20" t="s">
        <v>199</v>
      </c>
      <c r="CD30" s="19" t="s">
        <v>170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199</v>
      </c>
      <c r="BV31" s="23" t="s">
        <v>169</v>
      </c>
      <c r="BW31" s="20" t="s">
        <v>199</v>
      </c>
      <c r="BX31" s="20" t="s">
        <v>199</v>
      </c>
      <c r="BY31" s="20" t="s">
        <v>199</v>
      </c>
      <c r="BZ31" s="20" t="s">
        <v>199</v>
      </c>
      <c r="CA31" s="20" t="s">
        <v>199</v>
      </c>
      <c r="CB31" s="20" t="s">
        <v>199</v>
      </c>
      <c r="CC31" s="20" t="s">
        <v>199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199</v>
      </c>
      <c r="BG32" s="20" t="s">
        <v>199</v>
      </c>
      <c r="BH32" s="20" t="s">
        <v>199</v>
      </c>
      <c r="BI32" s="20" t="s">
        <v>199</v>
      </c>
      <c r="BJ32" s="20" t="s">
        <v>199</v>
      </c>
      <c r="BK32" s="20" t="s">
        <v>199</v>
      </c>
      <c r="BL32" s="20" t="s">
        <v>199</v>
      </c>
      <c r="BM32" s="23" t="s">
        <v>168</v>
      </c>
      <c r="BN32" s="20" t="s">
        <v>199</v>
      </c>
      <c r="BO32" s="20" t="s">
        <v>199</v>
      </c>
      <c r="BP32" s="20" t="s">
        <v>199</v>
      </c>
      <c r="BQ32" s="20" t="s">
        <v>199</v>
      </c>
      <c r="BR32" s="20" t="s">
        <v>199</v>
      </c>
      <c r="BS32" s="20" t="s">
        <v>199</v>
      </c>
      <c r="BT32" s="20" t="s">
        <v>199</v>
      </c>
      <c r="BU32" s="20" t="s">
        <v>199</v>
      </c>
      <c r="BV32" s="23" t="s">
        <v>169</v>
      </c>
      <c r="BW32" s="20" t="s">
        <v>199</v>
      </c>
      <c r="BX32" s="20" t="s">
        <v>199</v>
      </c>
      <c r="BY32" s="20" t="s">
        <v>199</v>
      </c>
      <c r="BZ32" s="20" t="s">
        <v>199</v>
      </c>
      <c r="CA32" s="20" t="s">
        <v>199</v>
      </c>
      <c r="CB32" s="20" t="s">
        <v>199</v>
      </c>
      <c r="CC32" s="20" t="s">
        <v>199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201</v>
      </c>
      <c r="AK33" s="20" t="s">
        <v>49</v>
      </c>
      <c r="AL33" s="20" t="s">
        <v>201</v>
      </c>
      <c r="AM33" s="20" t="s">
        <v>201</v>
      </c>
      <c r="AN33" s="20" t="s">
        <v>201</v>
      </c>
      <c r="AO33" s="20" t="s">
        <v>201</v>
      </c>
      <c r="AP33" s="20" t="s">
        <v>201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199</v>
      </c>
      <c r="AY33" s="20" t="s">
        <v>199</v>
      </c>
      <c r="AZ33" s="20" t="s">
        <v>199</v>
      </c>
      <c r="BA33" s="20" t="s">
        <v>199</v>
      </c>
      <c r="BB33" s="20" t="s">
        <v>199</v>
      </c>
      <c r="BC33" s="20" t="s">
        <v>199</v>
      </c>
      <c r="BD33" s="20" t="s">
        <v>200</v>
      </c>
      <c r="BE33" s="23" t="s">
        <v>167</v>
      </c>
      <c r="BF33" s="20" t="s">
        <v>199</v>
      </c>
      <c r="BG33" s="20" t="s">
        <v>199</v>
      </c>
      <c r="BH33" s="20" t="s">
        <v>199</v>
      </c>
      <c r="BI33" s="20" t="s">
        <v>199</v>
      </c>
      <c r="BJ33" s="20" t="s">
        <v>199</v>
      </c>
      <c r="BK33" s="20" t="s">
        <v>199</v>
      </c>
      <c r="BL33" s="20" t="s">
        <v>199</v>
      </c>
      <c r="BM33" s="23" t="s">
        <v>168</v>
      </c>
      <c r="BN33" s="20" t="s">
        <v>199</v>
      </c>
      <c r="BO33" s="20" t="s">
        <v>199</v>
      </c>
      <c r="BP33" s="20" t="s">
        <v>199</v>
      </c>
      <c r="BQ33" s="20" t="s">
        <v>199</v>
      </c>
      <c r="BR33" s="20" t="s">
        <v>199</v>
      </c>
      <c r="BS33" s="20" t="s">
        <v>199</v>
      </c>
      <c r="BT33" s="20" t="s">
        <v>199</v>
      </c>
      <c r="BU33" s="20" t="s">
        <v>199</v>
      </c>
      <c r="BV33" s="23" t="s">
        <v>169</v>
      </c>
      <c r="BW33" s="20" t="s">
        <v>199</v>
      </c>
      <c r="BX33" s="20" t="s">
        <v>199</v>
      </c>
      <c r="BY33" s="20" t="s">
        <v>199</v>
      </c>
      <c r="BZ33" s="20" t="s">
        <v>199</v>
      </c>
      <c r="CA33" s="20" t="s">
        <v>199</v>
      </c>
      <c r="CB33" s="20" t="s">
        <v>199</v>
      </c>
      <c r="CC33" s="20" t="s">
        <v>199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199</v>
      </c>
      <c r="AY34" s="20" t="s">
        <v>199</v>
      </c>
      <c r="AZ34" s="20" t="s">
        <v>199</v>
      </c>
      <c r="BA34" s="20" t="s">
        <v>199</v>
      </c>
      <c r="BB34" s="20" t="s">
        <v>199</v>
      </c>
      <c r="BC34" s="20" t="s">
        <v>199</v>
      </c>
      <c r="BD34" s="20" t="s">
        <v>198</v>
      </c>
      <c r="BE34" s="23" t="s">
        <v>167</v>
      </c>
      <c r="BF34" s="20" t="s">
        <v>199</v>
      </c>
      <c r="BG34" s="20" t="s">
        <v>199</v>
      </c>
      <c r="BH34" s="20" t="s">
        <v>199</v>
      </c>
      <c r="BI34" s="20" t="s">
        <v>199</v>
      </c>
      <c r="BJ34" s="20" t="s">
        <v>199</v>
      </c>
      <c r="BK34" s="20" t="s">
        <v>199</v>
      </c>
      <c r="BL34" s="20" t="s">
        <v>199</v>
      </c>
      <c r="BM34" s="23" t="s">
        <v>168</v>
      </c>
      <c r="BN34" s="20" t="s">
        <v>199</v>
      </c>
      <c r="BO34" s="20" t="s">
        <v>199</v>
      </c>
      <c r="BP34" s="20" t="s">
        <v>199</v>
      </c>
      <c r="BQ34" s="20" t="s">
        <v>199</v>
      </c>
      <c r="BR34" s="20" t="s">
        <v>199</v>
      </c>
      <c r="BS34" s="20" t="s">
        <v>199</v>
      </c>
      <c r="BT34" s="20" t="s">
        <v>199</v>
      </c>
      <c r="BU34" s="20" t="s">
        <v>199</v>
      </c>
      <c r="BV34" s="23" t="s">
        <v>169</v>
      </c>
      <c r="BW34" s="20" t="s">
        <v>199</v>
      </c>
      <c r="BX34" s="20" t="s">
        <v>199</v>
      </c>
      <c r="BY34" s="20" t="s">
        <v>199</v>
      </c>
      <c r="BZ34" s="20" t="s">
        <v>199</v>
      </c>
      <c r="CA34" s="20" t="s">
        <v>199</v>
      </c>
      <c r="CB34" s="20" t="s">
        <v>199</v>
      </c>
      <c r="CC34" s="20" t="s">
        <v>199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199</v>
      </c>
      <c r="AS35" s="20" t="s">
        <v>199</v>
      </c>
      <c r="AT35" s="20" t="s">
        <v>199</v>
      </c>
      <c r="AU35" s="20" t="s">
        <v>199</v>
      </c>
      <c r="AV35" s="20" t="s">
        <v>199</v>
      </c>
      <c r="AW35" s="23" t="s">
        <v>166</v>
      </c>
      <c r="AX35" s="20" t="s">
        <v>199</v>
      </c>
      <c r="AY35" s="20" t="s">
        <v>199</v>
      </c>
      <c r="AZ35" s="20" t="s">
        <v>199</v>
      </c>
      <c r="BA35" s="20" t="s">
        <v>199</v>
      </c>
      <c r="BB35" s="20" t="s">
        <v>199</v>
      </c>
      <c r="BC35" s="20" t="s">
        <v>199</v>
      </c>
      <c r="BD35" s="20" t="s">
        <v>199</v>
      </c>
      <c r="BE35" s="23" t="s">
        <v>167</v>
      </c>
      <c r="BF35" s="20" t="s">
        <v>199</v>
      </c>
      <c r="BG35" s="20" t="s">
        <v>199</v>
      </c>
      <c r="BH35" s="20" t="s">
        <v>199</v>
      </c>
      <c r="BI35" s="20" t="s">
        <v>199</v>
      </c>
      <c r="BJ35" s="20" t="s">
        <v>199</v>
      </c>
      <c r="BK35" s="20" t="s">
        <v>199</v>
      </c>
      <c r="BL35" s="20" t="s">
        <v>199</v>
      </c>
      <c r="BM35" s="23" t="s">
        <v>168</v>
      </c>
      <c r="BN35" s="20" t="s">
        <v>199</v>
      </c>
      <c r="BO35" s="20" t="s">
        <v>199</v>
      </c>
      <c r="BP35" s="20" t="s">
        <v>199</v>
      </c>
      <c r="BQ35" s="20" t="s">
        <v>199</v>
      </c>
      <c r="BR35" s="20" t="s">
        <v>199</v>
      </c>
      <c r="BS35" s="20" t="s">
        <v>199</v>
      </c>
      <c r="BT35" s="20" t="s">
        <v>199</v>
      </c>
      <c r="BU35" s="20" t="s">
        <v>199</v>
      </c>
      <c r="BV35" s="23" t="s">
        <v>169</v>
      </c>
      <c r="BW35" s="20" t="s">
        <v>199</v>
      </c>
      <c r="BX35" s="20" t="s">
        <v>199</v>
      </c>
      <c r="BY35" s="20" t="s">
        <v>199</v>
      </c>
      <c r="BZ35" s="20" t="s">
        <v>199</v>
      </c>
      <c r="CA35" s="20" t="s">
        <v>199</v>
      </c>
      <c r="CB35" s="20" t="s">
        <v>199</v>
      </c>
      <c r="CC35" s="20" t="s">
        <v>199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202</v>
      </c>
      <c r="AM36" s="20" t="s">
        <v>202</v>
      </c>
      <c r="AN36" s="20" t="s">
        <v>202</v>
      </c>
      <c r="AO36" s="20" t="s">
        <v>202</v>
      </c>
      <c r="AP36" s="20" t="s">
        <v>202</v>
      </c>
      <c r="AQ36" s="23" t="s">
        <v>165</v>
      </c>
      <c r="AR36" s="20" t="s">
        <v>199</v>
      </c>
      <c r="AS36" s="20" t="s">
        <v>199</v>
      </c>
      <c r="AT36" s="20" t="s">
        <v>199</v>
      </c>
      <c r="AU36" s="20" t="s">
        <v>199</v>
      </c>
      <c r="AV36" s="20" t="s">
        <v>199</v>
      </c>
      <c r="AW36" s="23" t="s">
        <v>166</v>
      </c>
      <c r="AX36" s="20" t="s">
        <v>199</v>
      </c>
      <c r="AY36" s="20" t="s">
        <v>199</v>
      </c>
      <c r="AZ36" s="20" t="s">
        <v>199</v>
      </c>
      <c r="BA36" s="20" t="s">
        <v>199</v>
      </c>
      <c r="BB36" s="20" t="s">
        <v>199</v>
      </c>
      <c r="BC36" s="20" t="s">
        <v>199</v>
      </c>
      <c r="BD36" s="20" t="s">
        <v>199</v>
      </c>
      <c r="BE36" s="23" t="s">
        <v>167</v>
      </c>
      <c r="BF36" s="20" t="s">
        <v>199</v>
      </c>
      <c r="BG36" s="20" t="s">
        <v>199</v>
      </c>
      <c r="BH36" s="20" t="s">
        <v>199</v>
      </c>
      <c r="BI36" s="20" t="s">
        <v>199</v>
      </c>
      <c r="BJ36" s="20" t="s">
        <v>199</v>
      </c>
      <c r="BK36" s="20" t="s">
        <v>199</v>
      </c>
      <c r="BL36" s="20" t="s">
        <v>199</v>
      </c>
      <c r="BM36" s="23" t="s">
        <v>168</v>
      </c>
      <c r="BN36" s="20" t="s">
        <v>199</v>
      </c>
      <c r="BO36" s="20" t="s">
        <v>199</v>
      </c>
      <c r="BP36" s="20" t="s">
        <v>199</v>
      </c>
      <c r="BQ36" s="20" t="s">
        <v>199</v>
      </c>
      <c r="BR36" s="20" t="s">
        <v>199</v>
      </c>
      <c r="BS36" s="20" t="s">
        <v>199</v>
      </c>
      <c r="BT36" s="20" t="s">
        <v>199</v>
      </c>
      <c r="BU36" s="20" t="s">
        <v>199</v>
      </c>
      <c r="BV36" s="23" t="s">
        <v>169</v>
      </c>
      <c r="BW36" s="20" t="s">
        <v>199</v>
      </c>
      <c r="BX36" s="20" t="s">
        <v>199</v>
      </c>
      <c r="BY36" s="20" t="s">
        <v>199</v>
      </c>
      <c r="BZ36" s="20" t="s">
        <v>199</v>
      </c>
      <c r="CA36" s="20" t="s">
        <v>199</v>
      </c>
      <c r="CB36" s="20" t="s">
        <v>199</v>
      </c>
      <c r="CC36" s="20" t="s">
        <v>199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199</v>
      </c>
      <c r="AK37" s="20" t="s">
        <v>199</v>
      </c>
      <c r="AL37" s="20" t="s">
        <v>199</v>
      </c>
      <c r="AM37" s="20" t="s">
        <v>199</v>
      </c>
      <c r="AN37" s="20" t="s">
        <v>199</v>
      </c>
      <c r="AO37" s="20" t="s">
        <v>199</v>
      </c>
      <c r="AP37" s="20" t="s">
        <v>199</v>
      </c>
      <c r="AQ37" s="23" t="s">
        <v>165</v>
      </c>
      <c r="AR37" s="20" t="s">
        <v>199</v>
      </c>
      <c r="AS37" s="20" t="s">
        <v>199</v>
      </c>
      <c r="AT37" s="20" t="s">
        <v>199</v>
      </c>
      <c r="AU37" s="20" t="s">
        <v>199</v>
      </c>
      <c r="AV37" s="20" t="s">
        <v>199</v>
      </c>
      <c r="AW37" s="23" t="s">
        <v>166</v>
      </c>
      <c r="AX37" s="20" t="s">
        <v>199</v>
      </c>
      <c r="AY37" s="20" t="s">
        <v>199</v>
      </c>
      <c r="AZ37" s="20" t="s">
        <v>199</v>
      </c>
      <c r="BA37" s="20" t="s">
        <v>199</v>
      </c>
      <c r="BB37" s="20" t="s">
        <v>199</v>
      </c>
      <c r="BC37" s="20" t="s">
        <v>199</v>
      </c>
      <c r="BD37" s="20" t="s">
        <v>199</v>
      </c>
      <c r="BE37" s="23" t="s">
        <v>167</v>
      </c>
      <c r="BF37" s="20" t="s">
        <v>199</v>
      </c>
      <c r="BG37" s="20" t="s">
        <v>199</v>
      </c>
      <c r="BH37" s="20" t="s">
        <v>199</v>
      </c>
      <c r="BI37" s="20" t="s">
        <v>199</v>
      </c>
      <c r="BJ37" s="20" t="s">
        <v>199</v>
      </c>
      <c r="BK37" s="20" t="s">
        <v>199</v>
      </c>
      <c r="BL37" s="20" t="s">
        <v>199</v>
      </c>
      <c r="BM37" s="23" t="s">
        <v>168</v>
      </c>
      <c r="BN37" s="20" t="s">
        <v>199</v>
      </c>
      <c r="BO37" s="20" t="s">
        <v>199</v>
      </c>
      <c r="BP37" s="20" t="s">
        <v>199</v>
      </c>
      <c r="BQ37" s="20" t="s">
        <v>199</v>
      </c>
      <c r="BR37" s="20" t="s">
        <v>199</v>
      </c>
      <c r="BS37" s="20" t="s">
        <v>199</v>
      </c>
      <c r="BT37" s="20" t="s">
        <v>199</v>
      </c>
      <c r="BU37" s="20" t="s">
        <v>199</v>
      </c>
      <c r="BV37" s="23" t="s">
        <v>169</v>
      </c>
      <c r="BW37" s="20" t="s">
        <v>199</v>
      </c>
      <c r="BX37" s="20" t="s">
        <v>199</v>
      </c>
      <c r="BY37" s="20" t="s">
        <v>199</v>
      </c>
      <c r="BZ37" s="20" t="s">
        <v>199</v>
      </c>
      <c r="CA37" s="20" t="s">
        <v>199</v>
      </c>
      <c r="CB37" s="20" t="s">
        <v>199</v>
      </c>
      <c r="CC37" s="20" t="s">
        <v>199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199</v>
      </c>
      <c r="AK38" s="20" t="s">
        <v>199</v>
      </c>
      <c r="AL38" s="20" t="s">
        <v>199</v>
      </c>
      <c r="AM38" s="20" t="s">
        <v>199</v>
      </c>
      <c r="AN38" s="20" t="s">
        <v>199</v>
      </c>
      <c r="AO38" s="20" t="s">
        <v>199</v>
      </c>
      <c r="AP38" s="20" t="s">
        <v>199</v>
      </c>
      <c r="AQ38" s="23" t="s">
        <v>165</v>
      </c>
      <c r="AR38" s="20" t="s">
        <v>199</v>
      </c>
      <c r="AS38" s="20" t="s">
        <v>199</v>
      </c>
      <c r="AT38" s="20" t="s">
        <v>199</v>
      </c>
      <c r="AU38" s="20" t="s">
        <v>199</v>
      </c>
      <c r="AV38" s="20" t="s">
        <v>199</v>
      </c>
      <c r="AW38" s="23" t="s">
        <v>166</v>
      </c>
      <c r="AX38" s="20" t="s">
        <v>199</v>
      </c>
      <c r="AY38" s="20" t="s">
        <v>199</v>
      </c>
      <c r="AZ38" s="20" t="s">
        <v>199</v>
      </c>
      <c r="BA38" s="20" t="s">
        <v>199</v>
      </c>
      <c r="BB38" s="20" t="s">
        <v>199</v>
      </c>
      <c r="BC38" s="20" t="s">
        <v>199</v>
      </c>
      <c r="BD38" s="20" t="s">
        <v>199</v>
      </c>
      <c r="BE38" s="23" t="s">
        <v>167</v>
      </c>
      <c r="BF38" s="20" t="s">
        <v>199</v>
      </c>
      <c r="BG38" s="20" t="s">
        <v>199</v>
      </c>
      <c r="BH38" s="20" t="s">
        <v>199</v>
      </c>
      <c r="BI38" s="20" t="s">
        <v>199</v>
      </c>
      <c r="BJ38" s="20" t="s">
        <v>199</v>
      </c>
      <c r="BK38" s="20" t="s">
        <v>199</v>
      </c>
      <c r="BL38" s="20" t="s">
        <v>199</v>
      </c>
      <c r="BM38" s="23" t="s">
        <v>168</v>
      </c>
      <c r="BN38" s="20" t="s">
        <v>199</v>
      </c>
      <c r="BO38" s="20" t="s">
        <v>199</v>
      </c>
      <c r="BP38" s="20" t="s">
        <v>199</v>
      </c>
      <c r="BQ38" s="20" t="s">
        <v>199</v>
      </c>
      <c r="BR38" s="20" t="s">
        <v>199</v>
      </c>
      <c r="BS38" s="20" t="s">
        <v>199</v>
      </c>
      <c r="BT38" s="20" t="s">
        <v>199</v>
      </c>
      <c r="BU38" s="20" t="s">
        <v>199</v>
      </c>
      <c r="BV38" s="23" t="s">
        <v>169</v>
      </c>
      <c r="BW38" s="20" t="s">
        <v>199</v>
      </c>
      <c r="BX38" s="20" t="s">
        <v>199</v>
      </c>
      <c r="BY38" s="20" t="s">
        <v>199</v>
      </c>
      <c r="BZ38" s="20" t="s">
        <v>199</v>
      </c>
      <c r="CA38" s="20" t="s">
        <v>199</v>
      </c>
      <c r="CB38" s="20" t="s">
        <v>199</v>
      </c>
      <c r="CC38" s="20" t="s">
        <v>199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199</v>
      </c>
      <c r="U39" s="20" t="s">
        <v>199</v>
      </c>
      <c r="V39" s="20" t="s">
        <v>199</v>
      </c>
      <c r="W39" s="20" t="s">
        <v>199</v>
      </c>
      <c r="X39" s="20" t="s">
        <v>199</v>
      </c>
      <c r="Y39" s="20" t="s">
        <v>199</v>
      </c>
      <c r="Z39" s="20" t="s">
        <v>199</v>
      </c>
      <c r="AA39" s="23" t="s">
        <v>163</v>
      </c>
      <c r="AB39" s="20" t="s">
        <v>199</v>
      </c>
      <c r="AC39" s="20" t="s">
        <v>199</v>
      </c>
      <c r="AD39" s="20" t="s">
        <v>199</v>
      </c>
      <c r="AE39" s="20" t="s">
        <v>199</v>
      </c>
      <c r="AF39" s="20" t="s">
        <v>199</v>
      </c>
      <c r="AG39" s="20" t="s">
        <v>199</v>
      </c>
      <c r="AH39" s="20" t="s">
        <v>199</v>
      </c>
      <c r="AI39" s="23" t="s">
        <v>164</v>
      </c>
      <c r="AJ39" s="20" t="s">
        <v>199</v>
      </c>
      <c r="AK39" s="20" t="s">
        <v>199</v>
      </c>
      <c r="AL39" s="20" t="s">
        <v>199</v>
      </c>
      <c r="AM39" s="20" t="s">
        <v>199</v>
      </c>
      <c r="AN39" s="20" t="s">
        <v>199</v>
      </c>
      <c r="AO39" s="20" t="s">
        <v>199</v>
      </c>
      <c r="AP39" s="20" t="s">
        <v>199</v>
      </c>
      <c r="AQ39" s="23" t="s">
        <v>165</v>
      </c>
      <c r="AR39" s="20" t="s">
        <v>199</v>
      </c>
      <c r="AS39" s="20" t="s">
        <v>199</v>
      </c>
      <c r="AT39" s="20" t="s">
        <v>199</v>
      </c>
      <c r="AU39" s="20" t="s">
        <v>199</v>
      </c>
      <c r="AV39" s="20" t="s">
        <v>199</v>
      </c>
      <c r="AW39" s="23" t="s">
        <v>166</v>
      </c>
      <c r="AX39" s="20" t="s">
        <v>199</v>
      </c>
      <c r="AY39" s="20" t="s">
        <v>199</v>
      </c>
      <c r="AZ39" s="20" t="s">
        <v>199</v>
      </c>
      <c r="BA39" s="20" t="s">
        <v>199</v>
      </c>
      <c r="BB39" s="20" t="s">
        <v>199</v>
      </c>
      <c r="BC39" s="20" t="s">
        <v>199</v>
      </c>
      <c r="BD39" s="20" t="s">
        <v>199</v>
      </c>
      <c r="BE39" s="23" t="s">
        <v>167</v>
      </c>
      <c r="BF39" s="20" t="s">
        <v>199</v>
      </c>
      <c r="BG39" s="20" t="s">
        <v>199</v>
      </c>
      <c r="BH39" s="20" t="s">
        <v>199</v>
      </c>
      <c r="BI39" s="20" t="s">
        <v>199</v>
      </c>
      <c r="BJ39" s="20" t="s">
        <v>199</v>
      </c>
      <c r="BK39" s="20" t="s">
        <v>199</v>
      </c>
      <c r="BL39" s="20" t="s">
        <v>199</v>
      </c>
      <c r="BM39" s="23" t="s">
        <v>168</v>
      </c>
      <c r="BN39" s="20" t="s">
        <v>199</v>
      </c>
      <c r="BO39" s="20" t="s">
        <v>199</v>
      </c>
      <c r="BP39" s="20" t="s">
        <v>199</v>
      </c>
      <c r="BQ39" s="20" t="s">
        <v>199</v>
      </c>
      <c r="BR39" s="20" t="s">
        <v>199</v>
      </c>
      <c r="BS39" s="20" t="s">
        <v>199</v>
      </c>
      <c r="BT39" s="20" t="s">
        <v>199</v>
      </c>
      <c r="BU39" s="20" t="s">
        <v>199</v>
      </c>
      <c r="BV39" s="23" t="s">
        <v>169</v>
      </c>
      <c r="BW39" s="20" t="s">
        <v>199</v>
      </c>
      <c r="BX39" s="20" t="s">
        <v>199</v>
      </c>
      <c r="BY39" s="20" t="s">
        <v>199</v>
      </c>
      <c r="BZ39" s="20" t="s">
        <v>199</v>
      </c>
      <c r="CA39" s="20" t="s">
        <v>199</v>
      </c>
      <c r="CB39" s="20" t="s">
        <v>199</v>
      </c>
      <c r="CC39" s="20" t="s">
        <v>199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U8"/>
  <sheetViews>
    <sheetView tabSelected="1" workbookViewId="0">
      <selection activeCell="G12" sqref="G12"/>
    </sheetView>
  </sheetViews>
  <sheetFormatPr defaultRowHeight="18.5" x14ac:dyDescent="0.55000000000000004"/>
  <cols>
    <col min="1" max="1" width="52.75" style="6" bestFit="1" customWidth="1"/>
    <col min="2" max="2" width="52.75" style="32" hidden="1" customWidth="1"/>
    <col min="3" max="3" width="13.6640625" style="32" customWidth="1"/>
    <col min="4" max="4" width="9.83203125" style="5" bestFit="1" customWidth="1"/>
    <col min="5" max="5" width="18.6640625" style="1" customWidth="1"/>
    <col min="6" max="6" width="18.6640625" style="1" hidden="1" customWidth="1"/>
    <col min="7" max="7" width="25.5" style="1" customWidth="1"/>
    <col min="8" max="8" width="15.58203125" style="1" hidden="1" customWidth="1"/>
    <col min="9" max="9" width="6.6640625" style="1" bestFit="1" customWidth="1"/>
    <col min="10" max="10" width="16.9140625" style="1" customWidth="1"/>
    <col min="11" max="11" width="8.6640625" style="1"/>
    <col min="12" max="12" width="10.9140625" style="1" bestFit="1" customWidth="1"/>
    <col min="13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3" width="9" style="1" bestFit="1" customWidth="1"/>
    <col min="24" max="24" width="10.9140625" style="1" bestFit="1" customWidth="1"/>
    <col min="25" max="25" width="9" style="1" bestFit="1" customWidth="1"/>
    <col min="26" max="26" width="7.1640625" style="1" bestFit="1" customWidth="1"/>
    <col min="27" max="28" width="9" style="1" bestFit="1" customWidth="1"/>
    <col min="29" max="29" width="10.9140625" style="1" bestFit="1" customWidth="1"/>
    <col min="30" max="34" width="9" style="1" bestFit="1" customWidth="1"/>
    <col min="35" max="35" width="7.1640625" style="1" bestFit="1" customWidth="1"/>
    <col min="36" max="42" width="9" style="1" bestFit="1" customWidth="1"/>
    <col min="43" max="43" width="7.1640625" style="1" bestFit="1" customWidth="1"/>
    <col min="44" max="44" width="9" style="1" bestFit="1" customWidth="1"/>
    <col min="45" max="45" width="7.1640625" style="1" bestFit="1" customWidth="1"/>
    <col min="46" max="47" width="9" style="1" bestFit="1" customWidth="1"/>
    <col min="48" max="16384" width="8.6640625" style="1"/>
  </cols>
  <sheetData>
    <row r="1" spans="1:47" s="3" customFormat="1" x14ac:dyDescent="0.55000000000000004">
      <c r="A1" s="10" t="s">
        <v>171</v>
      </c>
      <c r="B1" s="30" t="s">
        <v>206</v>
      </c>
      <c r="C1" s="30" t="s">
        <v>224</v>
      </c>
      <c r="D1" s="11" t="s">
        <v>173</v>
      </c>
      <c r="E1" s="3" t="s">
        <v>172</v>
      </c>
      <c r="F1" s="3" t="s">
        <v>207</v>
      </c>
      <c r="G1" s="3" t="s">
        <v>175</v>
      </c>
      <c r="H1" s="3" t="s">
        <v>208</v>
      </c>
      <c r="I1" s="3" t="s">
        <v>174</v>
      </c>
      <c r="J1" s="3" t="s">
        <v>203</v>
      </c>
      <c r="K1" s="3" t="s">
        <v>12</v>
      </c>
      <c r="L1" s="3" t="s">
        <v>15</v>
      </c>
      <c r="M1" s="3" t="s">
        <v>9</v>
      </c>
      <c r="N1" s="3" t="s">
        <v>17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27</v>
      </c>
      <c r="T1" s="3" t="s">
        <v>30</v>
      </c>
      <c r="U1" s="3" t="s">
        <v>32</v>
      </c>
      <c r="V1" s="3" t="s">
        <v>33</v>
      </c>
      <c r="W1" s="3" t="s">
        <v>34</v>
      </c>
      <c r="X1" s="3" t="s">
        <v>36</v>
      </c>
      <c r="Y1" s="3" t="s">
        <v>39</v>
      </c>
      <c r="Z1" s="3" t="s">
        <v>104</v>
      </c>
      <c r="AA1" s="3" t="s">
        <v>40</v>
      </c>
      <c r="AB1" s="3" t="s">
        <v>43</v>
      </c>
      <c r="AC1" s="3" t="s">
        <v>105</v>
      </c>
      <c r="AD1" s="3" t="s">
        <v>106</v>
      </c>
      <c r="AE1" s="3" t="s">
        <v>107</v>
      </c>
      <c r="AF1" s="3" t="s">
        <v>108</v>
      </c>
      <c r="AG1" s="3" t="s">
        <v>109</v>
      </c>
      <c r="AH1" s="3" t="s">
        <v>110</v>
      </c>
      <c r="AI1" s="3" t="s">
        <v>111</v>
      </c>
      <c r="AJ1" s="3" t="s">
        <v>112</v>
      </c>
      <c r="AK1" s="3" t="s">
        <v>113</v>
      </c>
      <c r="AL1" s="3" t="s">
        <v>114</v>
      </c>
      <c r="AM1" s="3" t="s">
        <v>115</v>
      </c>
      <c r="AN1" s="3" t="s">
        <v>116</v>
      </c>
      <c r="AO1" s="3" t="s">
        <v>117</v>
      </c>
      <c r="AP1" s="3" t="s">
        <v>118</v>
      </c>
      <c r="AQ1" s="3" t="s">
        <v>119</v>
      </c>
      <c r="AR1" s="3" t="s">
        <v>120</v>
      </c>
      <c r="AS1" s="3" t="s">
        <v>121</v>
      </c>
      <c r="AT1" s="3" t="s">
        <v>122</v>
      </c>
      <c r="AU1" s="3" t="s">
        <v>123</v>
      </c>
    </row>
    <row r="2" spans="1:47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イベント開始日</v>
      </c>
      <c r="D2" s="13" t="str">
        <f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撮影日</v>
      </c>
      <c r="E2" s="9" t="str">
        <f t="shared" ref="E2:H2" si="0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サブグループ</v>
      </c>
      <c r="F2" s="9" t="str">
        <f t="shared" si="0"/>
        <v>サブグループのフォルダ名</v>
      </c>
      <c r="G2" s="9" t="str">
        <f t="shared" si="0"/>
        <v>ファイル名[枚数]</v>
      </c>
      <c r="H2" s="9" t="str">
        <f t="shared" si="0"/>
        <v>ファイル名</v>
      </c>
      <c r="I2" s="9" t="str">
        <f t="shared" ref="I2" si="1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拡張子</v>
      </c>
      <c r="J2" s="9" t="str">
        <f t="shared" ref="J2:K2" si="2">SUBSTITUTE(SUBSTITUTE(SUBSTITUTE(SUBSTITUTE(SUBSTITUTE(SUBSTITUTE(SUBSTITUTE(SUBSTITUTE(SUBSTITUTE(SUBSTITUTE(SUBSTITUTE(SUBSTITUTE(SUBSTITUTE(SUBSTITUTE(SUBSTITUTE(SUBSTITUTE(SUBSTITUTE(SUBSTITUTE(J1, " ", "_"), "　", "_"), "'", ""), """", ""), "!", ""), "@", ""), "#", ""), "?", ""), "！", ""), "？", ""), "$", ""), "%", ""), "^", ""), "&amp;", ""), "*", ""), "(", ""), ")", ""), "・", "")</f>
        <v>最新更新</v>
      </c>
      <c r="K2" s="9" t="str">
        <f t="shared" si="2"/>
        <v>小池_美波</v>
      </c>
      <c r="L2" s="9" t="str">
        <f t="shared" ref="L2:AJ2" si="3"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齋藤_冬優花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上村_莉菜</v>
      </c>
      <c r="N2" s="9" t="str">
        <f t="shared" si="3"/>
        <v>井上_梨名</v>
      </c>
      <c r="O2" s="9" t="str">
        <f t="shared" si="3"/>
        <v>遠藤_光莉</v>
      </c>
      <c r="P2" s="9" t="str">
        <f t="shared" si="3"/>
        <v>大園_玲</v>
      </c>
      <c r="Q2" s="9" t="str">
        <f t="shared" si="3"/>
        <v>大沼_晶保</v>
      </c>
      <c r="R2" s="9" t="str">
        <f t="shared" si="3"/>
        <v>幸阪_茉里乃</v>
      </c>
      <c r="S2" s="9" t="str">
        <f t="shared" si="3"/>
        <v>武元_唯衣</v>
      </c>
      <c r="T2" s="9" t="str">
        <f t="shared" si="3"/>
        <v>田村_保乃</v>
      </c>
      <c r="U2" s="9" t="str">
        <f t="shared" si="3"/>
        <v>藤吉_夏鈴</v>
      </c>
      <c r="V2" s="9" t="str">
        <f t="shared" si="3"/>
        <v>増本_綺良</v>
      </c>
      <c r="W2" s="9" t="str">
        <f t="shared" si="3"/>
        <v>松田_里奈</v>
      </c>
      <c r="X2" s="9" t="str">
        <f t="shared" si="3"/>
        <v>森田_ひかる</v>
      </c>
      <c r="Y2" s="9" t="str">
        <f t="shared" si="3"/>
        <v>守屋_麗奈</v>
      </c>
      <c r="Z2" s="9" t="str">
        <f t="shared" si="3"/>
        <v>山﨑_天</v>
      </c>
      <c r="AA2" s="9" t="str">
        <f t="shared" si="3"/>
        <v>石森_璃花</v>
      </c>
      <c r="AB2" s="9" t="str">
        <f t="shared" si="3"/>
        <v>遠藤_理子</v>
      </c>
      <c r="AC2" s="9" t="str">
        <f t="shared" si="3"/>
        <v>小田倉_麗奈</v>
      </c>
      <c r="AD2" s="9" t="str">
        <f t="shared" si="3"/>
        <v>小島_凪紗</v>
      </c>
      <c r="AE2" s="9" t="str">
        <f t="shared" si="3"/>
        <v>谷口_愛季</v>
      </c>
      <c r="AF2" s="9" t="str">
        <f t="shared" si="3"/>
        <v>中嶋_優月</v>
      </c>
      <c r="AG2" s="9" t="str">
        <f t="shared" si="3"/>
        <v>的野_美青</v>
      </c>
      <c r="AH2" s="9" t="str">
        <f t="shared" si="3"/>
        <v>向井_純葉</v>
      </c>
      <c r="AI2" s="9" t="str">
        <f t="shared" si="3"/>
        <v>村井_優</v>
      </c>
      <c r="AJ2" s="9" t="str">
        <f t="shared" si="3"/>
        <v>村山_美羽</v>
      </c>
      <c r="AK2" s="9" t="str">
        <f t="shared" ref="AK2" si="4">SUBSTITUTE(SUBSTITUTE(SUBSTITUTE(SUBSTITUTE(SUBSTITUTE(SUBSTITUTE(SUBSTITUTE(SUBSTITUTE(SUBSTITUTE(SUBSTITUTE(SUBSTITUTE(SUBSTITUTE(SUBSTITUTE(SUBSTITUTE(SUBSTITUTE(SUBSTITUTE(SUBSTITUTE(SUBSTITUTE(AK1, " ", "_"), "　", "_"), "'", ""), """", ""), "!", ""), "@", ""), "#", ""), "?", ""), "！", ""), "？", ""), "$", ""), "%", ""), "^", ""), "&amp;", ""), "*", ""), "(", ""), ")", ""), "・", "")</f>
        <v>山下_瞳月</v>
      </c>
      <c r="AL2" s="9" t="str">
        <f t="shared" ref="AL2:AT2" si="5">SUBSTITUTE(SUBSTITUTE(SUBSTITUTE(SUBSTITUTE(SUBSTITUTE(SUBSTITUTE(SUBSTITUTE(SUBSTITUTE(SUBSTITUTE(SUBSTITUTE(SUBSTITUTE(SUBSTITUTE(SUBSTITUTE(SUBSTITUTE(SUBSTITUTE(SUBSTITUTE(SUBSTITUTE(SUBSTITUTE(AL1, " ", "_"), "　", "_"), "'", ""), """", ""), "!", ""), "@", ""), "#", ""), "?", ""), "！", ""), "？", ""), "$", ""), "%", ""), "^", ""), "&amp;", ""), "*", ""), "(", ""), ")", ""), "・", "")</f>
        <v>小林_由依</v>
      </c>
      <c r="AM2" s="9" t="str">
        <f t="shared" si="5"/>
        <v>土生_瑞穂</v>
      </c>
      <c r="AN2" s="9" t="str">
        <f t="shared" si="5"/>
        <v>関_有美子</v>
      </c>
      <c r="AO2" s="9" t="str">
        <f t="shared" si="5"/>
        <v>菅井_友香</v>
      </c>
      <c r="AP2" s="9" t="str">
        <f t="shared" si="5"/>
        <v>尾関_梨香</v>
      </c>
      <c r="AQ2" s="9" t="str">
        <f t="shared" si="5"/>
        <v>原田_葵</v>
      </c>
      <c r="AR2" s="9" t="str">
        <f t="shared" si="5"/>
        <v>渡邉_理佐</v>
      </c>
      <c r="AS2" s="9" t="str">
        <f t="shared" si="5"/>
        <v>守屋_茜</v>
      </c>
      <c r="AT2" s="9" t="str">
        <f t="shared" si="5"/>
        <v>渡辺_梨加</v>
      </c>
      <c r="AU2" s="9" t="str">
        <f t="shared" ref="AU2" si="6">SUBSTITUTE(SUBSTITUTE(SUBSTITUTE(SUBSTITUTE(SUBSTITUTE(SUBSTITUTE(SUBSTITUTE(SUBSTITUTE(SUBSTITUTE(SUBSTITUTE(SUBSTITUTE(SUBSTITUTE(SUBSTITUTE(SUBSTITUTE(SUBSTITUTE(SUBSTITUTE(SUBSTITUTE(SUBSTITUTE(AU1, " ", "_"), "　", "_"), "'", ""), """", ""), "!", ""), "@", ""), "#", ""), "?", ""), "！", ""), "？", ""), "$", ""), "%", ""), "^", ""), "&amp;", ""), "*", ""), "(", ""), ")", ""), "・", "")</f>
        <v>松平_璃子</v>
      </c>
    </row>
    <row r="3" spans="1:47" x14ac:dyDescent="0.55000000000000004">
      <c r="A3" s="6" t="s">
        <v>213</v>
      </c>
      <c r="B3" s="32" t="s">
        <v>214</v>
      </c>
      <c r="C3" s="34">
        <v>45587</v>
      </c>
      <c r="D3" s="4">
        <v>45591</v>
      </c>
      <c r="E3" s="1" t="s">
        <v>205</v>
      </c>
      <c r="F3" s="1" t="s">
        <v>209</v>
      </c>
      <c r="G3" s="1" t="s">
        <v>215</v>
      </c>
      <c r="H3" s="1" t="s">
        <v>216</v>
      </c>
      <c r="I3" s="1" t="s">
        <v>225</v>
      </c>
      <c r="J3" s="33">
        <v>45734.795161979164</v>
      </c>
      <c r="P3" s="1" t="s">
        <v>198</v>
      </c>
      <c r="S3" s="1" t="s">
        <v>198</v>
      </c>
      <c r="T3" s="1" t="s">
        <v>198</v>
      </c>
      <c r="U3" s="1" t="s">
        <v>198</v>
      </c>
      <c r="W3" s="1" t="s">
        <v>198</v>
      </c>
      <c r="X3" s="1" t="s">
        <v>198</v>
      </c>
      <c r="Y3" s="1" t="s">
        <v>198</v>
      </c>
      <c r="Z3" s="1" t="s">
        <v>198</v>
      </c>
      <c r="AE3" s="1" t="s">
        <v>198</v>
      </c>
      <c r="AF3" s="1" t="s">
        <v>198</v>
      </c>
      <c r="AG3" s="1" t="s">
        <v>198</v>
      </c>
      <c r="AH3" s="1" t="s">
        <v>198</v>
      </c>
      <c r="AJ3" s="1" t="s">
        <v>198</v>
      </c>
      <c r="AK3" s="1" t="s">
        <v>198</v>
      </c>
    </row>
    <row r="4" spans="1:47" x14ac:dyDescent="0.55000000000000004">
      <c r="A4" s="6" t="s">
        <v>213</v>
      </c>
      <c r="B4" s="32" t="s">
        <v>214</v>
      </c>
      <c r="C4" s="34">
        <v>45587</v>
      </c>
      <c r="D4" s="4">
        <v>45591</v>
      </c>
      <c r="E4" s="1" t="s">
        <v>205</v>
      </c>
      <c r="F4" s="1" t="s">
        <v>209</v>
      </c>
      <c r="G4" s="1" t="s">
        <v>217</v>
      </c>
      <c r="H4" s="1" t="s">
        <v>218</v>
      </c>
      <c r="I4" s="1" t="s">
        <v>225</v>
      </c>
      <c r="J4" s="33">
        <v>45734.795161979164</v>
      </c>
      <c r="K4" s="1" t="s">
        <v>198</v>
      </c>
      <c r="L4" s="1" t="s">
        <v>198</v>
      </c>
      <c r="M4" s="1" t="s">
        <v>198</v>
      </c>
      <c r="N4" s="1" t="s">
        <v>198</v>
      </c>
      <c r="O4" s="1" t="s">
        <v>198</v>
      </c>
      <c r="Q4" s="1" t="s">
        <v>198</v>
      </c>
      <c r="R4" s="1" t="s">
        <v>198</v>
      </c>
      <c r="V4" s="1" t="s">
        <v>198</v>
      </c>
      <c r="AA4" s="1" t="s">
        <v>198</v>
      </c>
      <c r="AB4" s="1" t="s">
        <v>198</v>
      </c>
      <c r="AD4" s="1" t="s">
        <v>198</v>
      </c>
      <c r="AI4" s="1" t="s">
        <v>198</v>
      </c>
    </row>
    <row r="5" spans="1:47" x14ac:dyDescent="0.55000000000000004">
      <c r="A5" s="6" t="s">
        <v>213</v>
      </c>
      <c r="B5" s="32" t="s">
        <v>214</v>
      </c>
      <c r="C5" s="34">
        <v>45587</v>
      </c>
      <c r="D5" s="4">
        <v>45591</v>
      </c>
      <c r="E5" s="1" t="s">
        <v>205</v>
      </c>
      <c r="F5" s="1" t="s">
        <v>209</v>
      </c>
      <c r="G5" s="1" t="s">
        <v>220</v>
      </c>
      <c r="H5" s="1" t="s">
        <v>221</v>
      </c>
      <c r="I5" s="1" t="s">
        <v>225</v>
      </c>
      <c r="J5" s="33">
        <v>45734.795161979164</v>
      </c>
      <c r="K5" s="1" t="s">
        <v>198</v>
      </c>
      <c r="L5" s="1" t="s">
        <v>198</v>
      </c>
      <c r="M5" s="1" t="s">
        <v>198</v>
      </c>
      <c r="N5" s="1" t="s">
        <v>198</v>
      </c>
      <c r="O5" s="1" t="s">
        <v>198</v>
      </c>
      <c r="P5" s="1" t="s">
        <v>198</v>
      </c>
      <c r="Q5" s="1" t="s">
        <v>198</v>
      </c>
      <c r="R5" s="1" t="s">
        <v>198</v>
      </c>
      <c r="S5" s="1" t="s">
        <v>198</v>
      </c>
      <c r="T5" s="1" t="s">
        <v>198</v>
      </c>
      <c r="U5" s="1" t="s">
        <v>198</v>
      </c>
      <c r="V5" s="1" t="s">
        <v>198</v>
      </c>
      <c r="W5" s="1" t="s">
        <v>198</v>
      </c>
      <c r="X5" s="1" t="s">
        <v>198</v>
      </c>
      <c r="Y5" s="1" t="s">
        <v>198</v>
      </c>
      <c r="Z5" s="1" t="s">
        <v>198</v>
      </c>
      <c r="AA5" s="1" t="s">
        <v>198</v>
      </c>
      <c r="AB5" s="1" t="s">
        <v>198</v>
      </c>
      <c r="AC5" s="1" t="s">
        <v>198</v>
      </c>
      <c r="AD5" s="1" t="s">
        <v>198</v>
      </c>
      <c r="AE5" s="1" t="s">
        <v>198</v>
      </c>
      <c r="AF5" s="1" t="s">
        <v>198</v>
      </c>
      <c r="AG5" s="1" t="s">
        <v>198</v>
      </c>
      <c r="AH5" s="1" t="s">
        <v>198</v>
      </c>
      <c r="AI5" s="1" t="s">
        <v>198</v>
      </c>
      <c r="AJ5" s="1" t="s">
        <v>198</v>
      </c>
      <c r="AK5" s="1" t="s">
        <v>198</v>
      </c>
    </row>
    <row r="6" spans="1:47" x14ac:dyDescent="0.55000000000000004">
      <c r="A6" s="6" t="s">
        <v>213</v>
      </c>
      <c r="B6" s="32" t="s">
        <v>214</v>
      </c>
      <c r="C6" s="34">
        <v>45587</v>
      </c>
      <c r="D6" s="4">
        <v>45591</v>
      </c>
      <c r="E6" s="1" t="s">
        <v>205</v>
      </c>
      <c r="F6" s="1" t="s">
        <v>209</v>
      </c>
      <c r="G6" s="1" t="s">
        <v>222</v>
      </c>
      <c r="H6" s="1" t="s">
        <v>223</v>
      </c>
      <c r="I6" s="1" t="s">
        <v>225</v>
      </c>
      <c r="J6" s="33">
        <v>45734.795161979164</v>
      </c>
      <c r="K6" s="1" t="s">
        <v>198</v>
      </c>
      <c r="L6" s="1" t="s">
        <v>198</v>
      </c>
      <c r="M6" s="1" t="s">
        <v>198</v>
      </c>
      <c r="N6" s="1" t="s">
        <v>198</v>
      </c>
      <c r="O6" s="1" t="s">
        <v>198</v>
      </c>
      <c r="P6" s="1" t="s">
        <v>198</v>
      </c>
      <c r="Q6" s="1" t="s">
        <v>198</v>
      </c>
      <c r="R6" s="1" t="s">
        <v>198</v>
      </c>
      <c r="S6" s="1" t="s">
        <v>198</v>
      </c>
      <c r="T6" s="1" t="s">
        <v>198</v>
      </c>
      <c r="U6" s="1" t="s">
        <v>198</v>
      </c>
      <c r="V6" s="1" t="s">
        <v>198</v>
      </c>
      <c r="W6" s="1" t="s">
        <v>198</v>
      </c>
      <c r="X6" s="1" t="s">
        <v>198</v>
      </c>
      <c r="Y6" s="1" t="s">
        <v>198</v>
      </c>
      <c r="Z6" s="1" t="s">
        <v>198</v>
      </c>
      <c r="AA6" s="1" t="s">
        <v>198</v>
      </c>
      <c r="AB6" s="1" t="s">
        <v>198</v>
      </c>
      <c r="AC6" s="1" t="s">
        <v>198</v>
      </c>
      <c r="AD6" s="1" t="s">
        <v>198</v>
      </c>
      <c r="AE6" s="1" t="s">
        <v>198</v>
      </c>
      <c r="AF6" s="1" t="s">
        <v>198</v>
      </c>
      <c r="AG6" s="1" t="s">
        <v>198</v>
      </c>
      <c r="AH6" s="1" t="s">
        <v>198</v>
      </c>
      <c r="AI6" s="1" t="s">
        <v>198</v>
      </c>
      <c r="AJ6" s="1" t="s">
        <v>198</v>
      </c>
      <c r="AK6" s="1" t="s">
        <v>198</v>
      </c>
    </row>
    <row r="7" spans="1:47" x14ac:dyDescent="0.55000000000000004">
      <c r="A7" s="6" t="s">
        <v>204</v>
      </c>
      <c r="B7" s="32" t="s">
        <v>204</v>
      </c>
      <c r="C7" s="34">
        <v>45587</v>
      </c>
      <c r="D7" s="4">
        <v>45591</v>
      </c>
      <c r="E7" s="1" t="s">
        <v>205</v>
      </c>
      <c r="F7" s="1" t="s">
        <v>209</v>
      </c>
      <c r="G7" s="1" t="s">
        <v>210</v>
      </c>
      <c r="H7" s="1" t="s">
        <v>211</v>
      </c>
      <c r="I7" s="1" t="s">
        <v>225</v>
      </c>
      <c r="J7" s="33">
        <v>45734.795162037037</v>
      </c>
      <c r="T7" s="1" t="s">
        <v>198</v>
      </c>
    </row>
    <row r="8" spans="1:47" x14ac:dyDescent="0.55000000000000004">
      <c r="A8" s="6" t="s">
        <v>204</v>
      </c>
      <c r="B8" s="32" t="s">
        <v>204</v>
      </c>
      <c r="C8" s="34">
        <v>45587</v>
      </c>
      <c r="D8" s="4">
        <v>45591</v>
      </c>
      <c r="E8" s="1" t="s">
        <v>205</v>
      </c>
      <c r="F8" s="1" t="s">
        <v>209</v>
      </c>
      <c r="G8" s="1" t="s">
        <v>219</v>
      </c>
      <c r="H8" s="1" t="s">
        <v>212</v>
      </c>
      <c r="I8" s="1" t="s">
        <v>225</v>
      </c>
      <c r="J8" s="33">
        <v>45734.795162037037</v>
      </c>
      <c r="T8" s="1" t="s">
        <v>198</v>
      </c>
    </row>
  </sheetData>
  <phoneticPr fontId="1"/>
  <conditionalFormatting sqref="A1:E1048576">
    <cfRule type="expression" dxfId="0" priority="1">
      <formula>AND(A1&lt;&gt;"", A1=OFFSET(A1, -1, 0))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9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9">
    <sortCondition ref="E3:E29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2025-03-18T12:32:08Z</dcterms:modified>
</cp:coreProperties>
</file>