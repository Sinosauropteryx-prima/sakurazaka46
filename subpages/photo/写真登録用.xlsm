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B28D508F-F2C2-458B-8D84-AAD0A474302C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8" i="1" l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G2" i="3"/>
  <c r="E2" i="3"/>
  <c r="B2" i="3"/>
  <c r="C2" i="3"/>
  <c r="AU2" i="3"/>
  <c r="K2" i="3"/>
  <c r="L2" i="3"/>
  <c r="Q2" i="3"/>
  <c r="R2" i="3"/>
  <c r="S2" i="3"/>
  <c r="U2" i="3"/>
  <c r="V2" i="3"/>
  <c r="X2" i="3"/>
  <c r="M2" i="3"/>
  <c r="N2" i="3"/>
  <c r="O2" i="3"/>
  <c r="P2" i="3"/>
  <c r="T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I29" i="1"/>
  <c r="G29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H2" i="3"/>
  <c r="D2" i="3"/>
  <c r="F2" i="3"/>
  <c r="A2" i="3"/>
</calcChain>
</file>

<file path=xl/sharedStrings.xml><?xml version="1.0" encoding="utf-8"?>
<sst xmlns="http://schemas.openxmlformats.org/spreadsheetml/2006/main" count="2238" uniqueCount="222">
  <si>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</si>
  <si>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</si>
  <si>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</si>
  <si>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</si>
  <si>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</si>
  <si>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</si>
  <si>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</si>
  <si>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</si>
  <si>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</si>
  <si>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</si>
  <si>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</si>
  <si>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</si>
  <si>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</si>
  <si>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</si>
  <si>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</si>
  <si>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</si>
  <si>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</si>
  <si>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</si>
  <si>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</si>
  <si>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</si>
  <si>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</si>
  <si>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</si>
  <si>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</si>
  <si>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</si>
  <si>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</si>
  <si>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</si>
  <si>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</si>
  <si>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</si>
  <si>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</si>
  <si>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</si>
  <si>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</si>
  <si>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</si>
  <si>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</si>
  <si>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</si>
  <si>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</si>
  <si>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</si>
  <si>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</si>
  <si>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</si>
  <si>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</si>
  <si>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</si>
  <si>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</si>
  <si>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</si>
  <si>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</si>
  <si>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</si>
  <si>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</si>
  <si>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</si>
  <si>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</si>
  <si>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</si>
  <si>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</si>
  <si>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</si>
  <si>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</si>
  <si>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</si>
  <si>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</si>
  <si>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</si>
  <si>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</si>
  <si>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</si>
  <si>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</si>
  <si>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</si>
  <si>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</si>
  <si>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</si>
  <si>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</si>
  <si>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</si>
  <si>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</si>
  <si>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</si>
  <si>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</si>
  <si>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</si>
  <si>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</si>
  <si>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</si>
  <si>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</si>
  <si>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</si>
  <si>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</si>
  <si>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</si>
  <si>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</si>
  <si>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</si>
  <si>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</si>
  <si>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</si>
  <si>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</si>
  <si>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</si>
  <si>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</si>
  <si>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</si>
  <si>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</si>
  <si>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</si>
  <si>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</si>
  <si>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</si>
  <si>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</si>
  <si>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</si>
  <si>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</si>
  <si>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</si>
  <si>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</si>
  <si>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</si>
  <si>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</si>
  <si>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</si>
  <si>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</si>
  <si>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</si>
  <si>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</si>
  <si>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</si>
  <si>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</si>
  <si>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</si>
  <si>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</si>
  <si>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</si>
  <si>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</si>
  <si>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</si>
  <si>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</si>
  <si>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</si>
  <si>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</si>
  <si>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</si>
  <si>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</si>
  <si>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</si>
  <si>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</si>
  <si>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</si>
  <si>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</si>
  <si>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</si>
  <si>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</si>
  <si>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</si>
  <si>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</si>
  <si>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</si>
  <si>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</si>
  <si>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</si>
  <si>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</si>
  <si>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</si>
  <si>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</si>
  <si>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</si>
  <si>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</si>
  <si>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</si>
  <si>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</si>
  <si>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</si>
  <si>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</si>
  <si>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</si>
  <si>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</si>
  <si>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</si>
  <si>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</si>
  <si>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</si>
  <si>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</si>
  <si>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</si>
  <si>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</si>
  <si>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</si>
  <si>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</si>
  <si>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</si>
  <si>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</si>
  <si>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</si>
  <si>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</si>
  <si>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</si>
  <si>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</si>
  <si>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</si>
  <si>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</si>
  <si>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</si>
  <si>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</si>
  <si>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</si>
  <si>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</si>
  <si>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</si>
  <si>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</si>
  <si>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</si>
  <si>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</si>
  <si>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</si>
  <si>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</si>
  <si>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</si>
  <si>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</si>
  <si>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</si>
  <si>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</si>
  <si>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</si>
  <si>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</si>
  <si>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</si>
  <si>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</si>
  <si>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</si>
  <si>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</si>
  <si>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</si>
  <si>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</si>
  <si>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</si>
  <si>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</si>
  <si>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</si>
  <si>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</si>
  <si>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</si>
  <si>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</si>
  <si>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</si>
  <si>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</si>
  <si>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</si>
  <si>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</si>
  <si>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</si>
  <si>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</si>
  <si>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</si>
  <si>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</si>
  <si>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</si>
  <si>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</si>
  <si>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</si>
  <si>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</si>
  <si>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</si>
  <si>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</si>
  <si>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</si>
  <si>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</si>
  <si>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</si>
  <si>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</si>
  <si>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</si>
  <si>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</si>
  <si>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</si>
  <si>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</si>
  <si>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</si>
  <si>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</si>
  <si>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</si>
  <si>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Ⅲ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</si>
  <si>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</si>
  <si>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</si>
  <si>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</si>
  <si>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</si>
  <si>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</si>
  <si>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</si>
  <si>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</si>
  <si>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</si>
  <si>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jpg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</si>
  <si>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</si>
  <si>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</si>
  <si>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</si>
  <si>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</si>
  <si>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パネル[18]</t>
    <phoneticPr fontId="1"/>
  </si>
  <si>
    <t>パネル</t>
    <phoneticPr fontId="1"/>
  </si>
  <si>
    <t>売り場1[4]</t>
    <phoneticPr fontId="1"/>
  </si>
  <si>
    <t>売り場1</t>
    <phoneticPr fontId="1"/>
  </si>
  <si>
    <t>売り場2[5]</t>
    <phoneticPr fontId="1"/>
  </si>
  <si>
    <t>売り場2</t>
    <phoneticPr fontId="1"/>
  </si>
  <si>
    <t>10thシングル『I want tomorrow to come』パネル展示</t>
    <phoneticPr fontId="1"/>
  </si>
  <si>
    <t>10thシングル『I_want_tomorrow_to_come』パネル展示</t>
    <phoneticPr fontId="1"/>
  </si>
  <si>
    <t>I want tomorrow to come パネル[63]</t>
    <phoneticPr fontId="1"/>
  </si>
  <si>
    <t>I_want_tomorrow_to_come_パネル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</si>
</sst>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標準" xfId="0" builtinId="0"/>
  </cellStyles>
  <dxfs count="5"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border>
        <right style="thin">
          <color auto="1"/>
        </right>
        <vertical/>
        <horizontal/>
      </border>
    </dxf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0" sqref="D10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>TEXT(F3, "yyyymmdd")</f>
        <v>19981114</v>
      </c>
      <c r="H3" s="7" t="s">
        <v>13</v>
      </c>
      <c r="I3" s="7">
        <f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>TEXT(F4, "yyyymmdd")</f>
        <v>19980215</v>
      </c>
      <c r="H4" s="7" t="s">
        <v>16</v>
      </c>
      <c r="I4" s="7">
        <f>IF(H4="北海道",1,IF(H4="青森県",2,IF(H4="岩手県",3,IF(H4="宮城県",4,IF(H4="秋田県",5,IF(H4="山形県",6,IF(H4="福島県",7,IF(H4="茨城県",8,IF(H4="栃木県",9,IF(H4="群馬県",10,IF(H4="埼玉県",11,IF(H4="千葉県",12,IF(H4="東京都",13,IF(H4="神奈川県",14,IF(H4="新潟県",15,IF(H4="富山県",16,IF(H4="石川県",17,IF(H4="福井県",18,IF(H4="山梨県",19,IF(H4="長野県",20,IF(H4="岐阜県",21,IF(H4="静岡県",22,IF(H4="愛知県",23,IF(H4="三重県",24,IF(H4="滋賀県",25,IF(H4="京都府",26,IF(H4="大阪府",27,IF(H4="兵庫県",28,IF(H4="奈良県",29,IF(H4="和歌山県",30,IF(H4="鳥取県",31,IF(H4="島根県",32,IF(H4="岡山県",33,IF(H4="広島県",34,IF(H4="山口県",35,IF(H4="徳島県",36,IF(H4="香川県",37,IF(H4="愛媛県",38,IF(H4="高知県",39,IF(H4="福岡県",40,IF(H4="佐賀県",41,IF(H4="長崎県",42,IF(H4="熊本県",43,IF(H4="大分県",44,IF(H4="宮崎県",45,IF(H4="鹿児島県",46,IF(H4="沖縄県",47,"")))))))))))))))))))))))))))))))))))))))))))))))</f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17</v>
      </c>
      <c r="B5" s="7" t="s">
        <v>127</v>
      </c>
      <c r="C5" s="8">
        <v>43433</v>
      </c>
      <c r="D5" s="7"/>
      <c r="E5" s="7" t="s">
        <v>18</v>
      </c>
      <c r="F5" s="8">
        <v>36920</v>
      </c>
      <c r="G5" s="7" t="str">
        <f>TEXT(F5, "yyyymmdd")</f>
        <v>20010129</v>
      </c>
      <c r="H5" s="7" t="s">
        <v>13</v>
      </c>
      <c r="I5" s="7">
        <f>IF(H5="北海道",1,IF(H5="青森県",2,IF(H5="岩手県",3,IF(H5="宮城県",4,IF(H5="秋田県",5,IF(H5="山形県",6,IF(H5="福島県",7,IF(H5="茨城県",8,IF(H5="栃木県",9,IF(H5="群馬県",10,IF(H5="埼玉県",11,IF(H5="千葉県",12,IF(H5="東京都",13,IF(H5="神奈川県",14,IF(H5="新潟県",15,IF(H5="富山県",16,IF(H5="石川県",17,IF(H5="福井県",18,IF(H5="山梨県",19,IF(H5="長野県",20,IF(H5="岐阜県",21,IF(H5="静岡県",22,IF(H5="愛知県",23,IF(H5="三重県",24,IF(H5="滋賀県",25,IF(H5="京都府",26,IF(H5="大阪府",27,IF(H5="兵庫県",28,IF(H5="奈良県",29,IF(H5="和歌山県",30,IF(H5="鳥取県",31,IF(H5="島根県",32,IF(H5="岡山県",33,IF(H5="広島県",34,IF(H5="山口県",35,IF(H5="徳島県",36,IF(H5="香川県",37,IF(H5="愛媛県",38,IF(H5="高知県",39,IF(H5="福岡県",40,IF(H5="佐賀県",41,IF(H5="長崎県",42,IF(H5="熊本県",43,IF(H5="大分県",44,IF(H5="宮崎県",45,IF(H5="鹿児島県",46,IF(H5="沖縄県",47,"")))))))))))))))))))))))))))))))))))))))))))))))</f>
        <v>28</v>
      </c>
      <c r="J5" s="7">
        <v>163</v>
      </c>
      <c r="K5" s="7" t="s">
        <v>161</v>
      </c>
      <c r="L5" s="7"/>
      <c r="M5" s="7"/>
      <c r="N5" s="7"/>
      <c r="O5" s="7" t="s">
        <v>29</v>
      </c>
      <c r="P5" s="7" t="s">
        <v>29</v>
      </c>
      <c r="Q5" s="7"/>
      <c r="R5" s="7"/>
      <c r="S5" s="7" t="s">
        <v>162</v>
      </c>
      <c r="T5" s="7" t="s">
        <v>29</v>
      </c>
      <c r="U5" s="7" t="s">
        <v>29</v>
      </c>
      <c r="V5" s="7"/>
      <c r="W5" s="7"/>
      <c r="X5" s="7"/>
      <c r="Y5" s="7"/>
      <c r="Z5" s="7" t="s">
        <v>103</v>
      </c>
      <c r="AA5" s="7" t="s">
        <v>163</v>
      </c>
      <c r="AB5" s="7"/>
      <c r="AC5" s="7"/>
      <c r="AD5" s="7" t="s">
        <v>29</v>
      </c>
      <c r="AE5" s="7" t="s">
        <v>14</v>
      </c>
      <c r="AF5" s="7"/>
      <c r="AG5" s="7" t="s">
        <v>103</v>
      </c>
      <c r="AH5" s="7"/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/>
      <c r="AV5" s="7"/>
      <c r="AW5" s="7" t="s">
        <v>166</v>
      </c>
      <c r="AX5" s="7" t="s">
        <v>29</v>
      </c>
      <c r="AY5" s="7"/>
      <c r="AZ5" s="7" t="s">
        <v>103</v>
      </c>
      <c r="BA5" s="7" t="s">
        <v>103</v>
      </c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/>
      <c r="BI5" s="7" t="s">
        <v>14</v>
      </c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38</v>
      </c>
      <c r="BQ5" s="7"/>
      <c r="BR5" s="7"/>
      <c r="BS5" s="7"/>
      <c r="BT5" s="7" t="s">
        <v>103</v>
      </c>
      <c r="BU5" s="7"/>
      <c r="BV5" s="7" t="s">
        <v>169</v>
      </c>
      <c r="BW5" s="7" t="s">
        <v>29</v>
      </c>
      <c r="BX5" s="7"/>
      <c r="BY5" s="7"/>
      <c r="BZ5" s="7"/>
      <c r="CA5" s="7"/>
      <c r="CB5" s="7"/>
      <c r="CC5" s="7" t="s">
        <v>103</v>
      </c>
      <c r="CD5" s="7" t="s">
        <v>170</v>
      </c>
      <c r="CE5" s="7" t="s">
        <v>29</v>
      </c>
      <c r="CF5" s="7"/>
      <c r="CG5" s="7"/>
      <c r="CH5" s="7" t="s">
        <v>103</v>
      </c>
      <c r="CI5" s="7"/>
      <c r="CJ5" s="7"/>
    </row>
    <row r="6" spans="1:88" x14ac:dyDescent="0.55000000000000004">
      <c r="A6" s="7" t="s">
        <v>19</v>
      </c>
      <c r="B6" s="7" t="s">
        <v>128</v>
      </c>
      <c r="C6" s="8">
        <v>43877</v>
      </c>
      <c r="D6" s="7"/>
      <c r="E6" s="7" t="s">
        <v>18</v>
      </c>
      <c r="F6" s="8">
        <v>36267</v>
      </c>
      <c r="G6" s="7" t="str">
        <f>TEXT(F6, "yyyymmdd")</f>
        <v>19990417</v>
      </c>
      <c r="H6" s="7" t="s">
        <v>20</v>
      </c>
      <c r="I6" s="7">
        <f>IF(H6="北海道",1,IF(H6="青森県",2,IF(H6="岩手県",3,IF(H6="宮城県",4,IF(H6="秋田県",5,IF(H6="山形県",6,IF(H6="福島県",7,IF(H6="茨城県",8,IF(H6="栃木県",9,IF(H6="群馬県",10,IF(H6="埼玉県",11,IF(H6="千葉県",12,IF(H6="東京都",13,IF(H6="神奈川県",14,IF(H6="新潟県",15,IF(H6="富山県",16,IF(H6="石川県",17,IF(H6="福井県",18,IF(H6="山梨県",19,IF(H6="長野県",20,IF(H6="岐阜県",21,IF(H6="静岡県",22,IF(H6="愛知県",23,IF(H6="三重県",24,IF(H6="滋賀県",25,IF(H6="京都府",26,IF(H6="大阪府",27,IF(H6="兵庫県",28,IF(H6="奈良県",29,IF(H6="和歌山県",30,IF(H6="鳥取県",31,IF(H6="島根県",32,IF(H6="岡山県",33,IF(H6="広島県",34,IF(H6="山口県",35,IF(H6="徳島県",36,IF(H6="香川県",37,IF(H6="愛媛県",38,IF(H6="高知県",39,IF(H6="福岡県",40,IF(H6="佐賀県",41,IF(H6="長崎県",42,IF(H6="熊本県",43,IF(H6="大分県",44,IF(H6="宮崎県",45,IF(H6="鹿児島県",46,IF(H6="沖縄県",47,"")))))))))))))))))))))))))))))))))))))))))))))))</f>
        <v>14</v>
      </c>
      <c r="J6" s="7">
        <v>163.30000000000001</v>
      </c>
      <c r="K6" s="7" t="s">
        <v>161</v>
      </c>
      <c r="L6" s="7"/>
      <c r="M6" s="7"/>
      <c r="N6" s="7"/>
      <c r="O6" s="7"/>
      <c r="P6" s="7"/>
      <c r="Q6" s="7" t="s">
        <v>29</v>
      </c>
      <c r="R6" s="7" t="s">
        <v>29</v>
      </c>
      <c r="S6" s="7" t="s">
        <v>162</v>
      </c>
      <c r="T6" s="7"/>
      <c r="U6" s="7"/>
      <c r="V6" s="7"/>
      <c r="W6" s="7"/>
      <c r="X6" s="7" t="s">
        <v>29</v>
      </c>
      <c r="Y6" s="7" t="s">
        <v>29</v>
      </c>
      <c r="Z6" s="7" t="s">
        <v>103</v>
      </c>
      <c r="AA6" s="7" t="s">
        <v>163</v>
      </c>
      <c r="AB6" s="7"/>
      <c r="AC6" s="7"/>
      <c r="AD6" s="7" t="s">
        <v>29</v>
      </c>
      <c r="AE6" s="7" t="s">
        <v>14</v>
      </c>
      <c r="AF6" s="7" t="s">
        <v>103</v>
      </c>
      <c r="AG6" s="7"/>
      <c r="AH6" s="7"/>
      <c r="AI6" s="7" t="s">
        <v>164</v>
      </c>
      <c r="AJ6" s="7"/>
      <c r="AK6" s="7" t="s">
        <v>29</v>
      </c>
      <c r="AL6" s="7" t="s">
        <v>29</v>
      </c>
      <c r="AM6" s="7"/>
      <c r="AN6" s="7"/>
      <c r="AO6" s="7" t="s">
        <v>29</v>
      </c>
      <c r="AP6" s="7"/>
      <c r="AQ6" s="7" t="s">
        <v>165</v>
      </c>
      <c r="AR6" s="7"/>
      <c r="AS6" s="7" t="s">
        <v>29</v>
      </c>
      <c r="AT6" s="7"/>
      <c r="AU6" s="7"/>
      <c r="AV6" s="7"/>
      <c r="AW6" s="7" t="s">
        <v>166</v>
      </c>
      <c r="AX6" s="7"/>
      <c r="AY6" s="7" t="s">
        <v>29</v>
      </c>
      <c r="AZ6" s="7" t="s">
        <v>103</v>
      </c>
      <c r="BA6" s="7"/>
      <c r="BB6" s="7" t="s">
        <v>103</v>
      </c>
      <c r="BC6" s="7"/>
      <c r="BD6" s="7" t="s">
        <v>103</v>
      </c>
      <c r="BE6" s="7" t="s">
        <v>167</v>
      </c>
      <c r="BF6" s="7" t="s">
        <v>176</v>
      </c>
      <c r="BG6" s="7" t="s">
        <v>176</v>
      </c>
      <c r="BH6" s="7" t="s">
        <v>176</v>
      </c>
      <c r="BI6" s="7" t="s">
        <v>176</v>
      </c>
      <c r="BJ6" s="7" t="s">
        <v>176</v>
      </c>
      <c r="BK6" s="7" t="s">
        <v>176</v>
      </c>
      <c r="BL6" s="7" t="s">
        <v>176</v>
      </c>
      <c r="BM6" s="7" t="s">
        <v>168</v>
      </c>
      <c r="BN6" s="7" t="s">
        <v>176</v>
      </c>
      <c r="BO6" s="7" t="s">
        <v>176</v>
      </c>
      <c r="BP6" s="7" t="s">
        <v>176</v>
      </c>
      <c r="BQ6" s="7" t="s">
        <v>176</v>
      </c>
      <c r="BR6" s="7" t="s">
        <v>176</v>
      </c>
      <c r="BS6" s="7" t="s">
        <v>176</v>
      </c>
      <c r="BT6" s="7" t="s">
        <v>176</v>
      </c>
      <c r="BU6" s="7"/>
      <c r="BV6" s="7" t="s">
        <v>169</v>
      </c>
      <c r="BW6" s="7"/>
      <c r="BX6" s="7" t="s">
        <v>103</v>
      </c>
      <c r="BY6" s="7"/>
      <c r="BZ6" s="7"/>
      <c r="CA6" s="7"/>
      <c r="CB6" s="7"/>
      <c r="CC6" s="7"/>
      <c r="CD6" s="7" t="s">
        <v>170</v>
      </c>
      <c r="CE6" s="7"/>
      <c r="CF6" s="7"/>
      <c r="CG6" s="7" t="s">
        <v>29</v>
      </c>
      <c r="CH6" s="7"/>
      <c r="CI6" s="7"/>
      <c r="CJ6" s="7"/>
    </row>
    <row r="7" spans="1:88" x14ac:dyDescent="0.55000000000000004">
      <c r="A7" s="7" t="s">
        <v>21</v>
      </c>
      <c r="B7" s="7" t="s">
        <v>129</v>
      </c>
      <c r="C7" s="8">
        <v>43877</v>
      </c>
      <c r="D7" s="7"/>
      <c r="E7" s="7" t="s">
        <v>18</v>
      </c>
      <c r="F7" s="8">
        <v>36634</v>
      </c>
      <c r="G7" s="7" t="str">
        <f>TEXT(F7, "yyyymmdd")</f>
        <v>20000418</v>
      </c>
      <c r="H7" s="7" t="s">
        <v>22</v>
      </c>
      <c r="I7" s="7">
        <f>IF(H7="北海道",1,IF(H7="青森県",2,IF(H7="岩手県",3,IF(H7="宮城県",4,IF(H7="秋田県",5,IF(H7="山形県",6,IF(H7="福島県",7,IF(H7="茨城県",8,IF(H7="栃木県",9,IF(H7="群馬県",10,IF(H7="埼玉県",11,IF(H7="千葉県",12,IF(H7="東京都",13,IF(H7="神奈川県",14,IF(H7="新潟県",15,IF(H7="富山県",16,IF(H7="石川県",17,IF(H7="福井県",18,IF(H7="山梨県",19,IF(H7="長野県",20,IF(H7="岐阜県",21,IF(H7="静岡県",22,IF(H7="愛知県",23,IF(H7="三重県",24,IF(H7="滋賀県",25,IF(H7="京都府",26,IF(H7="大阪府",27,IF(H7="兵庫県",28,IF(H7="奈良県",29,IF(H7="和歌山県",30,IF(H7="鳥取県",31,IF(H7="島根県",32,IF(H7="岡山県",33,IF(H7="広島県",34,IF(H7="山口県",35,IF(H7="徳島県",36,IF(H7="香川県",37,IF(H7="愛媛県",38,IF(H7="高知県",39,IF(H7="福岡県",40,IF(H7="佐賀県",41,IF(H7="長崎県",42,IF(H7="熊本県",43,IF(H7="大分県",44,IF(H7="宮崎県",45,IF(H7="鹿児島県",46,IF(H7="沖縄県",47,"")))))))))))))))))))))))))))))))))))))))))))))))</f>
        <v>46</v>
      </c>
      <c r="J7" s="7">
        <v>163</v>
      </c>
      <c r="K7" s="7" t="s">
        <v>161</v>
      </c>
      <c r="L7" s="7" t="s">
        <v>29</v>
      </c>
      <c r="M7" s="7" t="s">
        <v>29</v>
      </c>
      <c r="N7" s="7" t="s">
        <v>29</v>
      </c>
      <c r="O7" s="7"/>
      <c r="P7" s="7"/>
      <c r="Q7" s="7"/>
      <c r="R7" s="7"/>
      <c r="S7" s="7" t="s">
        <v>162</v>
      </c>
      <c r="T7" s="7" t="s">
        <v>29</v>
      </c>
      <c r="U7" s="7" t="s">
        <v>29</v>
      </c>
      <c r="V7" s="7"/>
      <c r="W7" s="7"/>
      <c r="X7" s="7"/>
      <c r="Y7" s="7"/>
      <c r="Z7" s="7" t="s">
        <v>103</v>
      </c>
      <c r="AA7" s="7" t="s">
        <v>163</v>
      </c>
      <c r="AB7" s="7" t="s">
        <v>29</v>
      </c>
      <c r="AC7" s="7" t="s">
        <v>29</v>
      </c>
      <c r="AD7" s="7"/>
      <c r="AE7" s="7" t="s">
        <v>49</v>
      </c>
      <c r="AF7" s="7"/>
      <c r="AG7" s="7"/>
      <c r="AH7" s="7"/>
      <c r="AI7" s="7" t="s">
        <v>164</v>
      </c>
      <c r="AJ7" s="7" t="s">
        <v>29</v>
      </c>
      <c r="AK7" s="7" t="s">
        <v>14</v>
      </c>
      <c r="AL7" s="7" t="s">
        <v>49</v>
      </c>
      <c r="AM7" s="7"/>
      <c r="AN7" s="7"/>
      <c r="AO7" s="7"/>
      <c r="AP7" s="7" t="s">
        <v>29</v>
      </c>
      <c r="AQ7" s="7" t="s">
        <v>165</v>
      </c>
      <c r="AR7" s="7" t="s">
        <v>29</v>
      </c>
      <c r="AS7" s="7"/>
      <c r="AT7" s="7"/>
      <c r="AU7" s="7"/>
      <c r="AV7" s="7" t="s">
        <v>103</v>
      </c>
      <c r="AW7" s="7" t="s">
        <v>166</v>
      </c>
      <c r="AX7" s="7" t="s">
        <v>14</v>
      </c>
      <c r="AY7" s="7" t="s">
        <v>38</v>
      </c>
      <c r="AZ7" s="7"/>
      <c r="BA7" s="7" t="s">
        <v>103</v>
      </c>
      <c r="BB7" s="7" t="s">
        <v>103</v>
      </c>
      <c r="BC7" s="7"/>
      <c r="BD7" s="7" t="s">
        <v>103</v>
      </c>
      <c r="BE7" s="7" t="s">
        <v>167</v>
      </c>
      <c r="BF7" s="7" t="s">
        <v>29</v>
      </c>
      <c r="BG7" s="7"/>
      <c r="BH7" s="7"/>
      <c r="BI7" s="7" t="s">
        <v>14</v>
      </c>
      <c r="BJ7" s="7"/>
      <c r="BK7" s="7" t="s">
        <v>29</v>
      </c>
      <c r="BL7" s="7" t="s">
        <v>29</v>
      </c>
      <c r="BM7" s="7" t="s">
        <v>168</v>
      </c>
      <c r="BN7" s="7" t="s">
        <v>14</v>
      </c>
      <c r="BO7" s="7"/>
      <c r="BP7" s="7"/>
      <c r="BQ7" s="7"/>
      <c r="BR7" s="7"/>
      <c r="BS7" s="7" t="s">
        <v>103</v>
      </c>
      <c r="BT7" s="7" t="s">
        <v>103</v>
      </c>
      <c r="BU7" s="7"/>
      <c r="BV7" s="7" t="s">
        <v>169</v>
      </c>
      <c r="BW7" s="7" t="s">
        <v>29</v>
      </c>
      <c r="BX7" s="7"/>
      <c r="BY7" s="7"/>
      <c r="BZ7" s="7"/>
      <c r="CA7" s="7"/>
      <c r="CB7" s="7"/>
      <c r="CC7" s="7" t="s">
        <v>103</v>
      </c>
      <c r="CD7" s="7" t="s">
        <v>170</v>
      </c>
      <c r="CE7" s="7" t="s">
        <v>14</v>
      </c>
      <c r="CF7" s="7"/>
      <c r="CG7" s="7"/>
      <c r="CH7" s="7"/>
      <c r="CI7" s="7"/>
      <c r="CJ7" s="7"/>
    </row>
    <row r="8" spans="1:88" x14ac:dyDescent="0.55000000000000004">
      <c r="A8" s="7" t="s">
        <v>23</v>
      </c>
      <c r="B8" s="7" t="s">
        <v>130</v>
      </c>
      <c r="C8" s="8">
        <v>43877</v>
      </c>
      <c r="D8" s="7"/>
      <c r="E8" s="7" t="s">
        <v>18</v>
      </c>
      <c r="F8" s="8">
        <v>36445</v>
      </c>
      <c r="G8" s="7" t="str">
        <f>TEXT(F8, "yyyymmdd")</f>
        <v>19991012</v>
      </c>
      <c r="H8" s="7" t="s">
        <v>24</v>
      </c>
      <c r="I8" s="7">
        <f>IF(H8="北海道",1,IF(H8="青森県",2,IF(H8="岩手県",3,IF(H8="宮城県",4,IF(H8="秋田県",5,IF(H8="山形県",6,IF(H8="福島県",7,IF(H8="茨城県",8,IF(H8="栃木県",9,IF(H8="群馬県",10,IF(H8="埼玉県",11,IF(H8="千葉県",12,IF(H8="東京都",13,IF(H8="神奈川県",14,IF(H8="新潟県",15,IF(H8="富山県",16,IF(H8="石川県",17,IF(H8="福井県",18,IF(H8="山梨県",19,IF(H8="長野県",20,IF(H8="岐阜県",21,IF(H8="静岡県",22,IF(H8="愛知県",23,IF(H8="三重県",24,IF(H8="滋賀県",25,IF(H8="京都府",26,IF(H8="大阪府",27,IF(H8="兵庫県",28,IF(H8="奈良県",29,IF(H8="和歌山県",30,IF(H8="鳥取県",31,IF(H8="島根県",32,IF(H8="岡山県",33,IF(H8="広島県",34,IF(H8="山口県",35,IF(H8="徳島県",36,IF(H8="香川県",37,IF(H8="愛媛県",38,IF(H8="高知県",39,IF(H8="福岡県",40,IF(H8="佐賀県",41,IF(H8="長崎県",42,IF(H8="熊本県",43,IF(H8="大分県",44,IF(H8="宮崎県",45,IF(H8="鹿児島県",46,IF(H8="沖縄県",47,"")))))))))))))))))))))))))))))))))))))))))))))))</f>
        <v>22</v>
      </c>
      <c r="J8" s="7">
        <v>161</v>
      </c>
      <c r="K8" s="7" t="s">
        <v>161</v>
      </c>
      <c r="L8" s="7"/>
      <c r="M8" s="7"/>
      <c r="N8" s="7"/>
      <c r="O8" s="7"/>
      <c r="P8" s="7"/>
      <c r="Q8" s="7" t="s">
        <v>29</v>
      </c>
      <c r="R8" s="7" t="s">
        <v>29</v>
      </c>
      <c r="S8" s="7" t="s">
        <v>162</v>
      </c>
      <c r="T8" s="7"/>
      <c r="U8" s="7"/>
      <c r="V8" s="7"/>
      <c r="W8" s="7"/>
      <c r="X8" s="7" t="s">
        <v>29</v>
      </c>
      <c r="Y8" s="7" t="s">
        <v>29</v>
      </c>
      <c r="Z8" s="7" t="s">
        <v>103</v>
      </c>
      <c r="AA8" s="7" t="s">
        <v>163</v>
      </c>
      <c r="AB8" s="7"/>
      <c r="AC8" s="7"/>
      <c r="AD8" s="7" t="s">
        <v>29</v>
      </c>
      <c r="AE8" s="7" t="s">
        <v>14</v>
      </c>
      <c r="AF8" s="7"/>
      <c r="AG8" s="7"/>
      <c r="AH8" s="7"/>
      <c r="AI8" s="7" t="s">
        <v>164</v>
      </c>
      <c r="AJ8" s="7"/>
      <c r="AK8" s="7" t="s">
        <v>29</v>
      </c>
      <c r="AL8" s="7" t="s">
        <v>29</v>
      </c>
      <c r="AM8" s="7"/>
      <c r="AN8" s="7"/>
      <c r="AO8" s="7" t="s">
        <v>29</v>
      </c>
      <c r="AP8" s="7"/>
      <c r="AQ8" s="7" t="s">
        <v>165</v>
      </c>
      <c r="AR8" s="7"/>
      <c r="AS8" s="7" t="s">
        <v>29</v>
      </c>
      <c r="AT8" s="7"/>
      <c r="AU8" s="7"/>
      <c r="AV8" s="7"/>
      <c r="AW8" s="7" t="s">
        <v>166</v>
      </c>
      <c r="AX8" s="7"/>
      <c r="AY8" s="7" t="s">
        <v>29</v>
      </c>
      <c r="AZ8" s="7" t="s">
        <v>103</v>
      </c>
      <c r="BA8" s="7"/>
      <c r="BB8" s="7" t="s">
        <v>103</v>
      </c>
      <c r="BC8" s="7"/>
      <c r="BD8" s="7" t="s">
        <v>103</v>
      </c>
      <c r="BE8" s="7" t="s">
        <v>167</v>
      </c>
      <c r="BF8" s="7" t="s">
        <v>29</v>
      </c>
      <c r="BG8" s="7"/>
      <c r="BH8" s="7"/>
      <c r="BI8" s="7" t="s">
        <v>49</v>
      </c>
      <c r="BJ8" s="7"/>
      <c r="BK8" s="7" t="s">
        <v>29</v>
      </c>
      <c r="BL8" s="7" t="s">
        <v>29</v>
      </c>
      <c r="BM8" s="7" t="s">
        <v>168</v>
      </c>
      <c r="BN8" s="7"/>
      <c r="BO8" s="7"/>
      <c r="BP8" s="7" t="s">
        <v>29</v>
      </c>
      <c r="BQ8" s="7"/>
      <c r="BR8" s="7"/>
      <c r="BS8" s="7"/>
      <c r="BT8" s="7" t="s">
        <v>103</v>
      </c>
      <c r="BU8" s="7"/>
      <c r="BV8" s="7" t="s">
        <v>169</v>
      </c>
      <c r="BW8" s="7"/>
      <c r="BX8" s="7" t="s">
        <v>103</v>
      </c>
      <c r="BY8" s="7"/>
      <c r="BZ8" s="7"/>
      <c r="CA8" s="7"/>
      <c r="CB8" s="7"/>
      <c r="CC8" s="7"/>
      <c r="CD8" s="7" t="s">
        <v>170</v>
      </c>
      <c r="CE8" s="7"/>
      <c r="CF8" s="7"/>
      <c r="CG8" s="7" t="s">
        <v>14</v>
      </c>
      <c r="CH8" s="7" t="s">
        <v>103</v>
      </c>
      <c r="CI8" s="7"/>
      <c r="CJ8" s="7"/>
    </row>
    <row r="9" spans="1:88" x14ac:dyDescent="0.55000000000000004">
      <c r="A9" s="7" t="s">
        <v>25</v>
      </c>
      <c r="B9" s="7" t="s">
        <v>131</v>
      </c>
      <c r="C9" s="8">
        <v>43877</v>
      </c>
      <c r="D9" s="7"/>
      <c r="E9" s="7" t="s">
        <v>18</v>
      </c>
      <c r="F9" s="8">
        <v>37609</v>
      </c>
      <c r="G9" s="7" t="str">
        <f>TEXT(F9, "yyyymmdd")</f>
        <v>20021219</v>
      </c>
      <c r="H9" s="7" t="s">
        <v>26</v>
      </c>
      <c r="I9" s="7">
        <f>IF(H9="北海道",1,IF(H9="青森県",2,IF(H9="岩手県",3,IF(H9="宮城県",4,IF(H9="秋田県",5,IF(H9="山形県",6,IF(H9="福島県",7,IF(H9="茨城県",8,IF(H9="栃木県",9,IF(H9="群馬県",10,IF(H9="埼玉県",11,IF(H9="千葉県",12,IF(H9="東京都",13,IF(H9="神奈川県",14,IF(H9="新潟県",15,IF(H9="富山県",16,IF(H9="石川県",17,IF(H9="福井県",18,IF(H9="山梨県",19,IF(H9="長野県",20,IF(H9="岐阜県",21,IF(H9="静岡県",22,IF(H9="愛知県",23,IF(H9="三重県",24,IF(H9="滋賀県",25,IF(H9="京都府",26,IF(H9="大阪府",27,IF(H9="兵庫県",28,IF(H9="奈良県",29,IF(H9="和歌山県",30,IF(H9="鳥取県",31,IF(H9="島根県",32,IF(H9="岡山県",33,IF(H9="広島県",34,IF(H9="山口県",35,IF(H9="徳島県",36,IF(H9="香川県",37,IF(H9="愛媛県",38,IF(H9="高知県",39,IF(H9="福岡県",40,IF(H9="佐賀県",41,IF(H9="長崎県",42,IF(H9="熊本県",43,IF(H9="大分県",44,IF(H9="宮崎県",45,IF(H9="鹿児島県",46,IF(H9="沖縄県",47,"")))))))))))))))))))))))))))))))))))))))))))))))</f>
        <v>24</v>
      </c>
      <c r="J9" s="7">
        <v>154.5</v>
      </c>
      <c r="K9" s="7" t="s">
        <v>161</v>
      </c>
      <c r="L9" s="7"/>
      <c r="M9" s="7"/>
      <c r="N9" s="7"/>
      <c r="O9" s="7" t="s">
        <v>29</v>
      </c>
      <c r="P9" s="7" t="s">
        <v>29</v>
      </c>
      <c r="Q9" s="7"/>
      <c r="R9" s="7"/>
      <c r="S9" s="7" t="s">
        <v>162</v>
      </c>
      <c r="T9" s="7"/>
      <c r="U9" s="7"/>
      <c r="V9" s="7"/>
      <c r="W9" s="7"/>
      <c r="X9" s="7" t="s">
        <v>29</v>
      </c>
      <c r="Y9" s="7" t="s">
        <v>29</v>
      </c>
      <c r="Z9" s="7" t="s">
        <v>103</v>
      </c>
      <c r="AA9" s="7" t="s">
        <v>163</v>
      </c>
      <c r="AB9" s="7"/>
      <c r="AC9" s="7"/>
      <c r="AD9" s="7"/>
      <c r="AE9" s="7" t="s">
        <v>29</v>
      </c>
      <c r="AF9" s="7"/>
      <c r="AG9" s="7"/>
      <c r="AH9" s="7" t="s">
        <v>29</v>
      </c>
      <c r="AI9" s="7" t="s">
        <v>164</v>
      </c>
      <c r="AJ9" s="7"/>
      <c r="AK9" s="7" t="s">
        <v>29</v>
      </c>
      <c r="AL9" s="7" t="s">
        <v>29</v>
      </c>
      <c r="AM9" s="7"/>
      <c r="AN9" s="7"/>
      <c r="AO9" s="7" t="s">
        <v>29</v>
      </c>
      <c r="AP9" s="7"/>
      <c r="AQ9" s="7" t="s">
        <v>165</v>
      </c>
      <c r="AR9" s="7"/>
      <c r="AS9" s="7" t="s">
        <v>29</v>
      </c>
      <c r="AT9" s="7"/>
      <c r="AU9" s="7"/>
      <c r="AV9" s="7"/>
      <c r="AW9" s="7" t="s">
        <v>166</v>
      </c>
      <c r="AX9" s="7"/>
      <c r="AY9" s="7" t="s">
        <v>29</v>
      </c>
      <c r="AZ9" s="7" t="s">
        <v>103</v>
      </c>
      <c r="BA9" s="7"/>
      <c r="BB9" s="7" t="s">
        <v>103</v>
      </c>
      <c r="BC9" s="7"/>
      <c r="BD9" s="7" t="s">
        <v>103</v>
      </c>
      <c r="BE9" s="7" t="s">
        <v>167</v>
      </c>
      <c r="BF9" s="7" t="s">
        <v>29</v>
      </c>
      <c r="BG9" s="7"/>
      <c r="BH9" s="7"/>
      <c r="BI9" s="7" t="s">
        <v>14</v>
      </c>
      <c r="BJ9" s="7"/>
      <c r="BK9" s="7" t="s">
        <v>29</v>
      </c>
      <c r="BL9" s="7" t="s">
        <v>29</v>
      </c>
      <c r="BM9" s="7" t="s">
        <v>168</v>
      </c>
      <c r="BN9" s="7"/>
      <c r="BO9" s="7"/>
      <c r="BP9" s="7" t="s">
        <v>29</v>
      </c>
      <c r="BQ9" s="7"/>
      <c r="BR9" s="7"/>
      <c r="BS9" s="7"/>
      <c r="BT9" s="7" t="s">
        <v>103</v>
      </c>
      <c r="BU9" s="7"/>
      <c r="BV9" s="7" t="s">
        <v>169</v>
      </c>
      <c r="BW9" s="7"/>
      <c r="BX9" s="7" t="s">
        <v>103</v>
      </c>
      <c r="BY9" s="7"/>
      <c r="BZ9" s="7"/>
      <c r="CA9" s="7"/>
      <c r="CB9" s="7"/>
      <c r="CC9" s="7"/>
      <c r="CD9" s="7" t="s">
        <v>170</v>
      </c>
      <c r="CE9" s="7"/>
      <c r="CF9" s="7"/>
      <c r="CG9" s="7" t="s">
        <v>29</v>
      </c>
      <c r="CH9" s="7"/>
      <c r="CI9" s="7"/>
      <c r="CJ9" s="7"/>
    </row>
    <row r="10" spans="1:88" x14ac:dyDescent="0.55000000000000004">
      <c r="A10" s="7" t="s">
        <v>27</v>
      </c>
      <c r="B10" s="7" t="s">
        <v>132</v>
      </c>
      <c r="C10" s="8">
        <v>43433</v>
      </c>
      <c r="D10" s="7"/>
      <c r="E10" s="7" t="s">
        <v>18</v>
      </c>
      <c r="F10" s="8">
        <v>37338</v>
      </c>
      <c r="G10" s="7" t="str">
        <f>TEXT(F10, "yyyymmdd")</f>
        <v>20020323</v>
      </c>
      <c r="H10" s="7" t="s">
        <v>28</v>
      </c>
      <c r="I10" s="7">
        <f>IF(H10="北海道",1,IF(H10="青森県",2,IF(H10="岩手県",3,IF(H10="宮城県",4,IF(H10="秋田県",5,IF(H10="山形県",6,IF(H10="福島県",7,IF(H10="茨城県",8,IF(H10="栃木県",9,IF(H10="群馬県",10,IF(H10="埼玉県",11,IF(H10="千葉県",12,IF(H10="東京都",13,IF(H10="神奈川県",14,IF(H10="新潟県",15,IF(H10="富山県",16,IF(H10="石川県",17,IF(H10="福井県",18,IF(H10="山梨県",19,IF(H10="長野県",20,IF(H10="岐阜県",21,IF(H10="静岡県",22,IF(H10="愛知県",23,IF(H10="三重県",24,IF(H10="滋賀県",25,IF(H10="京都府",26,IF(H10="大阪府",27,IF(H10="兵庫県",28,IF(H10="奈良県",29,IF(H10="和歌山県",30,IF(H10="鳥取県",31,IF(H10="島根県",32,IF(H10="岡山県",33,IF(H10="広島県",34,IF(H10="山口県",35,IF(H10="徳島県",36,IF(H10="香川県",37,IF(H10="愛媛県",38,IF(H10="高知県",39,IF(H10="福岡県",40,IF(H10="佐賀県",41,IF(H10="長崎県",42,IF(H10="熊本県",43,IF(H10="大分県",44,IF(H10="宮崎県",45,IF(H10="鹿児島県",46,IF(H10="沖縄県",47,"")))))))))))))))))))))))))))))))))))))))))))))))</f>
        <v>25</v>
      </c>
      <c r="J10" s="7">
        <v>158.5</v>
      </c>
      <c r="K10" s="7" t="s">
        <v>161</v>
      </c>
      <c r="L10" s="7" t="s">
        <v>29</v>
      </c>
      <c r="M10" s="7" t="s">
        <v>29</v>
      </c>
      <c r="N10" s="7" t="s">
        <v>29</v>
      </c>
      <c r="O10" s="7"/>
      <c r="P10" s="7"/>
      <c r="Q10" s="7"/>
      <c r="R10" s="7"/>
      <c r="S10" s="7" t="s">
        <v>162</v>
      </c>
      <c r="T10" s="7"/>
      <c r="U10" s="7"/>
      <c r="V10" s="7" t="s">
        <v>29</v>
      </c>
      <c r="W10" s="7" t="s">
        <v>29</v>
      </c>
      <c r="X10" s="7"/>
      <c r="Y10" s="7"/>
      <c r="Z10" s="7" t="s">
        <v>103</v>
      </c>
      <c r="AA10" s="7" t="s">
        <v>163</v>
      </c>
      <c r="AB10" s="7" t="s">
        <v>29</v>
      </c>
      <c r="AC10" s="7" t="s">
        <v>29</v>
      </c>
      <c r="AD10" s="7"/>
      <c r="AE10" s="7" t="s">
        <v>14</v>
      </c>
      <c r="AF10" s="7"/>
      <c r="AG10" s="7"/>
      <c r="AH10" s="7"/>
      <c r="AI10" s="7" t="s">
        <v>164</v>
      </c>
      <c r="AJ10" s="7" t="s">
        <v>29</v>
      </c>
      <c r="AK10" s="7" t="s">
        <v>29</v>
      </c>
      <c r="AL10" s="7" t="s">
        <v>14</v>
      </c>
      <c r="AM10" s="7"/>
      <c r="AN10" s="7" t="s">
        <v>103</v>
      </c>
      <c r="AO10" s="7"/>
      <c r="AP10" s="7" t="s">
        <v>29</v>
      </c>
      <c r="AQ10" s="7" t="s">
        <v>165</v>
      </c>
      <c r="AR10" s="7" t="s">
        <v>29</v>
      </c>
      <c r="AS10" s="7"/>
      <c r="AT10" s="7"/>
      <c r="AU10" s="7"/>
      <c r="AV10" s="7"/>
      <c r="AW10" s="7" t="s">
        <v>166</v>
      </c>
      <c r="AX10" s="7" t="s">
        <v>29</v>
      </c>
      <c r="AY10" s="7"/>
      <c r="AZ10" s="7" t="s">
        <v>103</v>
      </c>
      <c r="BA10" s="7" t="s">
        <v>103</v>
      </c>
      <c r="BB10" s="7" t="s">
        <v>103</v>
      </c>
      <c r="BC10" s="7"/>
      <c r="BD10" s="7" t="s">
        <v>103</v>
      </c>
      <c r="BE10" s="7" t="s">
        <v>167</v>
      </c>
      <c r="BF10" s="7" t="s">
        <v>29</v>
      </c>
      <c r="BG10" s="7"/>
      <c r="BH10" s="7"/>
      <c r="BI10" s="7" t="s">
        <v>14</v>
      </c>
      <c r="BJ10" s="7"/>
      <c r="BK10" s="7" t="s">
        <v>29</v>
      </c>
      <c r="BL10" s="7" t="s">
        <v>29</v>
      </c>
      <c r="BM10" s="7" t="s">
        <v>168</v>
      </c>
      <c r="BN10" s="7" t="s">
        <v>29</v>
      </c>
      <c r="BO10" s="7"/>
      <c r="BP10" s="7"/>
      <c r="BQ10" s="7" t="s">
        <v>103</v>
      </c>
      <c r="BR10" s="7"/>
      <c r="BS10" s="7" t="s">
        <v>103</v>
      </c>
      <c r="BT10" s="7" t="s">
        <v>103</v>
      </c>
      <c r="BU10" s="7"/>
      <c r="BV10" s="7" t="s">
        <v>169</v>
      </c>
      <c r="BW10" s="7"/>
      <c r="BX10" s="7" t="s">
        <v>38</v>
      </c>
      <c r="BY10" s="7"/>
      <c r="BZ10" s="7"/>
      <c r="CA10" s="7"/>
      <c r="CB10" s="7"/>
      <c r="CC10" s="7"/>
      <c r="CD10" s="7" t="s">
        <v>170</v>
      </c>
      <c r="CE10" s="7"/>
      <c r="CF10" s="7"/>
      <c r="CG10" s="7" t="s">
        <v>49</v>
      </c>
      <c r="CH10" s="7" t="s">
        <v>103</v>
      </c>
      <c r="CI10" s="7"/>
      <c r="CJ10" s="7"/>
    </row>
    <row r="11" spans="1:88" x14ac:dyDescent="0.55000000000000004">
      <c r="A11" s="7" t="s">
        <v>30</v>
      </c>
      <c r="B11" s="7" t="s">
        <v>133</v>
      </c>
      <c r="C11" s="8">
        <v>43433</v>
      </c>
      <c r="D11" s="7"/>
      <c r="E11" s="7" t="s">
        <v>18</v>
      </c>
      <c r="F11" s="8">
        <v>36089</v>
      </c>
      <c r="G11" s="7" t="str">
        <f>TEXT(F11, "yyyymmdd")</f>
        <v>19981021</v>
      </c>
      <c r="H11" s="7" t="s">
        <v>31</v>
      </c>
      <c r="I11" s="7">
        <f>IF(H11="北海道",1,IF(H11="青森県",2,IF(H11="岩手県",3,IF(H11="宮城県",4,IF(H11="秋田県",5,IF(H11="山形県",6,IF(H11="福島県",7,IF(H11="茨城県",8,IF(H11="栃木県",9,IF(H11="群馬県",10,IF(H11="埼玉県",11,IF(H11="千葉県",12,IF(H11="東京都",13,IF(H11="神奈川県",14,IF(H11="新潟県",15,IF(H11="富山県",16,IF(H11="石川県",17,IF(H11="福井県",18,IF(H11="山梨県",19,IF(H11="長野県",20,IF(H11="岐阜県",21,IF(H11="静岡県",22,IF(H11="愛知県",23,IF(H11="三重県",24,IF(H11="滋賀県",25,IF(H11="京都府",26,IF(H11="大阪府",27,IF(H11="兵庫県",28,IF(H11="奈良県",29,IF(H11="和歌山県",30,IF(H11="鳥取県",31,IF(H11="島根県",32,IF(H11="岡山県",33,IF(H11="広島県",34,IF(H11="山口県",35,IF(H11="徳島県",36,IF(H11="香川県",37,IF(H11="愛媛県",38,IF(H11="高知県",39,IF(H11="福岡県",40,IF(H11="佐賀県",41,IF(H11="長崎県",42,IF(H11="熊本県",43,IF(H11="大分県",44,IF(H11="宮崎県",45,IF(H11="鹿児島県",46,IF(H11="沖縄県",47,"")))))))))))))))))))))))))))))))))))))))))))))))</f>
        <v>27</v>
      </c>
      <c r="J11" s="7">
        <v>163</v>
      </c>
      <c r="K11" s="7" t="s">
        <v>161</v>
      </c>
      <c r="L11" s="7" t="s">
        <v>14</v>
      </c>
      <c r="M11" s="7" t="s">
        <v>14</v>
      </c>
      <c r="N11" s="7" t="s">
        <v>14</v>
      </c>
      <c r="O11" s="7" t="s">
        <v>14</v>
      </c>
      <c r="P11" s="7" t="s">
        <v>14</v>
      </c>
      <c r="Q11" s="7" t="s">
        <v>14</v>
      </c>
      <c r="R11" s="7" t="s">
        <v>14</v>
      </c>
      <c r="S11" s="7" t="s">
        <v>162</v>
      </c>
      <c r="T11" s="7" t="s">
        <v>14</v>
      </c>
      <c r="U11" s="7" t="s">
        <v>14</v>
      </c>
      <c r="V11" s="7" t="s">
        <v>14</v>
      </c>
      <c r="W11" s="7" t="s">
        <v>14</v>
      </c>
      <c r="X11" s="7" t="s">
        <v>14</v>
      </c>
      <c r="Y11" s="7" t="s">
        <v>14</v>
      </c>
      <c r="Z11" s="7" t="s">
        <v>103</v>
      </c>
      <c r="AA11" s="7" t="s">
        <v>163</v>
      </c>
      <c r="AB11" s="7" t="s">
        <v>38</v>
      </c>
      <c r="AC11" s="7" t="s">
        <v>38</v>
      </c>
      <c r="AD11" s="7" t="s">
        <v>49</v>
      </c>
      <c r="AE11" s="7"/>
      <c r="AF11" s="7"/>
      <c r="AG11" s="7"/>
      <c r="AH11" s="7" t="s">
        <v>14</v>
      </c>
      <c r="AI11" s="7" t="s">
        <v>164</v>
      </c>
      <c r="AJ11" s="7" t="s">
        <v>49</v>
      </c>
      <c r="AK11" s="7" t="s">
        <v>49</v>
      </c>
      <c r="AL11" s="7"/>
      <c r="AM11" s="7" t="s">
        <v>38</v>
      </c>
      <c r="AN11" s="7"/>
      <c r="AO11" s="7" t="s">
        <v>49</v>
      </c>
      <c r="AP11" s="7" t="s">
        <v>49</v>
      </c>
      <c r="AQ11" s="7" t="s">
        <v>165</v>
      </c>
      <c r="AR11" s="7" t="s">
        <v>49</v>
      </c>
      <c r="AS11" s="7" t="s">
        <v>49</v>
      </c>
      <c r="AT11" s="7"/>
      <c r="AU11" s="7"/>
      <c r="AV11" s="7" t="s">
        <v>103</v>
      </c>
      <c r="AW11" s="7" t="s">
        <v>166</v>
      </c>
      <c r="AX11" s="7" t="s">
        <v>14</v>
      </c>
      <c r="AY11" s="7" t="s">
        <v>14</v>
      </c>
      <c r="AZ11" s="7"/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49</v>
      </c>
      <c r="BG11" s="7"/>
      <c r="BH11" s="7"/>
      <c r="BI11" s="7" t="s">
        <v>14</v>
      </c>
      <c r="BJ11" s="7"/>
      <c r="BK11" s="7" t="s">
        <v>49</v>
      </c>
      <c r="BL11" s="7" t="s">
        <v>38</v>
      </c>
      <c r="BM11" s="7" t="s">
        <v>168</v>
      </c>
      <c r="BN11" s="7" t="s">
        <v>14</v>
      </c>
      <c r="BO11" s="7"/>
      <c r="BP11" s="7"/>
      <c r="BQ11" s="7" t="s">
        <v>103</v>
      </c>
      <c r="BR11" s="7"/>
      <c r="BS11" s="7" t="s">
        <v>103</v>
      </c>
      <c r="BT11" s="7" t="s">
        <v>103</v>
      </c>
      <c r="BU11" s="7"/>
      <c r="BV11" s="7" t="s">
        <v>169</v>
      </c>
      <c r="BW11" s="7" t="s">
        <v>14</v>
      </c>
      <c r="BX11" s="7"/>
      <c r="BY11" s="7"/>
      <c r="BZ11" s="7"/>
      <c r="CA11" s="7"/>
      <c r="CB11" s="7"/>
      <c r="CC11" s="7" t="s">
        <v>103</v>
      </c>
      <c r="CD11" s="7" t="s">
        <v>170</v>
      </c>
      <c r="CE11" s="7" t="s">
        <v>49</v>
      </c>
      <c r="CF11" s="7"/>
      <c r="CG11" s="7"/>
      <c r="CH11" s="7"/>
      <c r="CI11" s="7"/>
      <c r="CJ11" s="7"/>
    </row>
    <row r="12" spans="1:88" x14ac:dyDescent="0.55000000000000004">
      <c r="A12" s="7" t="s">
        <v>32</v>
      </c>
      <c r="B12" s="7" t="s">
        <v>134</v>
      </c>
      <c r="C12" s="8">
        <v>43433</v>
      </c>
      <c r="D12" s="7"/>
      <c r="E12" s="7" t="s">
        <v>18</v>
      </c>
      <c r="F12" s="8">
        <v>37132</v>
      </c>
      <c r="G12" s="7" t="str">
        <f>TEXT(F12, "yyyymmdd")</f>
        <v>20010829</v>
      </c>
      <c r="H12" s="7" t="s">
        <v>31</v>
      </c>
      <c r="I12" s="7">
        <f>IF(H12="北海道",1,IF(H12="青森県",2,IF(H12="岩手県",3,IF(H12="宮城県",4,IF(H12="秋田県",5,IF(H12="山形県",6,IF(H12="福島県",7,IF(H12="茨城県",8,IF(H12="栃木県",9,IF(H12="群馬県",10,IF(H12="埼玉県",11,IF(H12="千葉県",12,IF(H12="東京都",13,IF(H12="神奈川県",14,IF(H12="新潟県",15,IF(H12="富山県",16,IF(H12="石川県",17,IF(H12="福井県",18,IF(H12="山梨県",19,IF(H12="長野県",20,IF(H12="岐阜県",21,IF(H12="静岡県",22,IF(H12="愛知県",23,IF(H12="三重県",24,IF(H12="滋賀県",25,IF(H12="京都府",26,IF(H12="大阪府",27,IF(H12="兵庫県",28,IF(H12="奈良県",29,IF(H12="和歌山県",30,IF(H12="鳥取県",31,IF(H12="島根県",32,IF(H12="岡山県",33,IF(H12="広島県",34,IF(H12="山口県",35,IF(H12="徳島県",36,IF(H12="香川県",37,IF(H12="愛媛県",38,IF(H12="高知県",39,IF(H12="福岡県",40,IF(H12="佐賀県",41,IF(H12="長崎県",42,IF(H12="熊本県",43,IF(H12="大分県",44,IF(H12="宮崎県",45,IF(H12="鹿児島県",46,IF(H12="沖縄県",47,"")))))))))))))))))))))))))))))))))))))))))))))))</f>
        <v>27</v>
      </c>
      <c r="J12" s="7">
        <v>165.1</v>
      </c>
      <c r="K12" s="7" t="s">
        <v>161</v>
      </c>
      <c r="L12" s="7" t="s">
        <v>14</v>
      </c>
      <c r="M12" s="7" t="s">
        <v>14</v>
      </c>
      <c r="N12" s="7" t="s">
        <v>14</v>
      </c>
      <c r="O12" s="7" t="s">
        <v>38</v>
      </c>
      <c r="P12" s="7" t="s">
        <v>38</v>
      </c>
      <c r="Q12" s="7" t="s">
        <v>14</v>
      </c>
      <c r="R12" s="7" t="s">
        <v>14</v>
      </c>
      <c r="S12" s="7" t="s">
        <v>162</v>
      </c>
      <c r="T12" s="7" t="s">
        <v>14</v>
      </c>
      <c r="U12" s="7" t="s">
        <v>14</v>
      </c>
      <c r="V12" s="7" t="s">
        <v>38</v>
      </c>
      <c r="W12" s="7" t="s">
        <v>38</v>
      </c>
      <c r="X12" s="7" t="s">
        <v>14</v>
      </c>
      <c r="Y12" s="7" t="s">
        <v>14</v>
      </c>
      <c r="Z12" s="7" t="s">
        <v>103</v>
      </c>
      <c r="AA12" s="7" t="s">
        <v>163</v>
      </c>
      <c r="AB12" s="7" t="s">
        <v>29</v>
      </c>
      <c r="AC12" s="7" t="s">
        <v>29</v>
      </c>
      <c r="AD12" s="7"/>
      <c r="AE12" s="7" t="s">
        <v>49</v>
      </c>
      <c r="AF12" s="7" t="s">
        <v>103</v>
      </c>
      <c r="AG12" s="7"/>
      <c r="AH12" s="7"/>
      <c r="AI12" s="7" t="s">
        <v>164</v>
      </c>
      <c r="AJ12" s="7" t="s">
        <v>14</v>
      </c>
      <c r="AK12" s="7" t="s">
        <v>14</v>
      </c>
      <c r="AL12" s="7"/>
      <c r="AM12" s="7" t="s">
        <v>14</v>
      </c>
      <c r="AN12" s="7"/>
      <c r="AO12" s="7" t="s">
        <v>14</v>
      </c>
      <c r="AP12" s="7" t="s">
        <v>14</v>
      </c>
      <c r="AQ12" s="7" t="s">
        <v>165</v>
      </c>
      <c r="AR12" s="7" t="s">
        <v>49</v>
      </c>
      <c r="AS12" s="7" t="s">
        <v>14</v>
      </c>
      <c r="AT12" s="7" t="s">
        <v>103</v>
      </c>
      <c r="AU12" s="7"/>
      <c r="AV12" s="7"/>
      <c r="AW12" s="7" t="s">
        <v>166</v>
      </c>
      <c r="AX12" s="7" t="s">
        <v>14</v>
      </c>
      <c r="AY12" s="7" t="s">
        <v>14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38</v>
      </c>
      <c r="BG12" s="7"/>
      <c r="BH12" s="7"/>
      <c r="BI12" s="7" t="s">
        <v>14</v>
      </c>
      <c r="BJ12" s="7"/>
      <c r="BK12" s="7" t="s">
        <v>38</v>
      </c>
      <c r="BL12" s="7" t="s">
        <v>49</v>
      </c>
      <c r="BM12" s="7" t="s">
        <v>168</v>
      </c>
      <c r="BN12" s="7" t="s">
        <v>14</v>
      </c>
      <c r="BO12" s="7"/>
      <c r="BP12" s="7"/>
      <c r="BQ12" s="7" t="s">
        <v>103</v>
      </c>
      <c r="BR12" s="7"/>
      <c r="BS12" s="7" t="s">
        <v>103</v>
      </c>
      <c r="BT12" s="7" t="s">
        <v>103</v>
      </c>
      <c r="BU12" s="7"/>
      <c r="BV12" s="7" t="s">
        <v>169</v>
      </c>
      <c r="BW12" s="7" t="s">
        <v>49</v>
      </c>
      <c r="BX12" s="7"/>
      <c r="BY12" s="7"/>
      <c r="BZ12" s="7"/>
      <c r="CA12" s="7"/>
      <c r="CB12" s="7" t="s">
        <v>103</v>
      </c>
      <c r="CC12" s="7" t="s">
        <v>103</v>
      </c>
      <c r="CD12" s="7" t="s">
        <v>170</v>
      </c>
      <c r="CE12" s="7" t="s">
        <v>14</v>
      </c>
      <c r="CF12" s="7"/>
      <c r="CG12" s="7"/>
      <c r="CH12" s="7"/>
      <c r="CI12" s="7"/>
      <c r="CJ12" s="7"/>
    </row>
    <row r="13" spans="1:88" x14ac:dyDescent="0.55000000000000004">
      <c r="A13" s="7" t="s">
        <v>33</v>
      </c>
      <c r="B13" s="7" t="s">
        <v>135</v>
      </c>
      <c r="C13" s="8">
        <v>43877</v>
      </c>
      <c r="D13" s="7"/>
      <c r="E13" s="7" t="s">
        <v>18</v>
      </c>
      <c r="F13" s="8">
        <v>36903</v>
      </c>
      <c r="G13" s="7" t="str">
        <f>TEXT(F13, "yyyymmdd")</f>
        <v>20010112</v>
      </c>
      <c r="H13" s="7" t="s">
        <v>13</v>
      </c>
      <c r="I13" s="7">
        <f>IF(H13="北海道",1,IF(H13="青森県",2,IF(H13="岩手県",3,IF(H13="宮城県",4,IF(H13="秋田県",5,IF(H13="山形県",6,IF(H13="福島県",7,IF(H13="茨城県",8,IF(H13="栃木県",9,IF(H13="群馬県",10,IF(H13="埼玉県",11,IF(H13="千葉県",12,IF(H13="東京都",13,IF(H13="神奈川県",14,IF(H13="新潟県",15,IF(H13="富山県",16,IF(H13="石川県",17,IF(H13="福井県",18,IF(H13="山梨県",19,IF(H13="長野県",20,IF(H13="岐阜県",21,IF(H13="静岡県",22,IF(H13="愛知県",23,IF(H13="三重県",24,IF(H13="滋賀県",25,IF(H13="京都府",26,IF(H13="大阪府",27,IF(H13="兵庫県",28,IF(H13="奈良県",29,IF(H13="和歌山県",30,IF(H13="鳥取県",31,IF(H13="島根県",32,IF(H13="岡山県",33,IF(H13="広島県",34,IF(H13="山口県",35,IF(H13="徳島県",36,IF(H13="香川県",37,IF(H13="愛媛県",38,IF(H13="高知県",39,IF(H13="福岡県",40,IF(H13="佐賀県",41,IF(H13="長崎県",42,IF(H13="熊本県",43,IF(H13="大分県",44,IF(H13="宮崎県",45,IF(H13="鹿児島県",46,IF(H13="沖縄県",47,"")))))))))))))))))))))))))))))))))))))))))))))))</f>
        <v>28</v>
      </c>
      <c r="J13" s="7">
        <v>158.4</v>
      </c>
      <c r="K13" s="7" t="s">
        <v>161</v>
      </c>
      <c r="L13" s="7"/>
      <c r="M13" s="7"/>
      <c r="N13" s="7"/>
      <c r="O13" s="7" t="s">
        <v>29</v>
      </c>
      <c r="P13" s="7" t="s">
        <v>29</v>
      </c>
      <c r="Q13" s="7"/>
      <c r="R13" s="7"/>
      <c r="S13" s="7" t="s">
        <v>162</v>
      </c>
      <c r="T13" s="7"/>
      <c r="U13" s="7"/>
      <c r="V13" s="7"/>
      <c r="W13" s="7"/>
      <c r="X13" s="7" t="s">
        <v>29</v>
      </c>
      <c r="Y13" s="7" t="s">
        <v>29</v>
      </c>
      <c r="Z13" s="7" t="s">
        <v>103</v>
      </c>
      <c r="AA13" s="7" t="s">
        <v>163</v>
      </c>
      <c r="AB13" s="7"/>
      <c r="AC13" s="7"/>
      <c r="AD13" s="7" t="s">
        <v>29</v>
      </c>
      <c r="AE13" s="7" t="s">
        <v>29</v>
      </c>
      <c r="AF13" s="7"/>
      <c r="AG13" s="7"/>
      <c r="AH13" s="7"/>
      <c r="AI13" s="7" t="s">
        <v>164</v>
      </c>
      <c r="AJ13" s="7"/>
      <c r="AK13" s="7" t="s">
        <v>29</v>
      </c>
      <c r="AL13" s="7" t="s">
        <v>14</v>
      </c>
      <c r="AM13" s="7"/>
      <c r="AN13" s="7"/>
      <c r="AO13" s="7" t="s">
        <v>29</v>
      </c>
      <c r="AP13" s="7"/>
      <c r="AQ13" s="7" t="s">
        <v>165</v>
      </c>
      <c r="AR13" s="7"/>
      <c r="AS13" s="7" t="s">
        <v>29</v>
      </c>
      <c r="AT13" s="7"/>
      <c r="AU13" s="7"/>
      <c r="AV13" s="7"/>
      <c r="AW13" s="7" t="s">
        <v>166</v>
      </c>
      <c r="AX13" s="7" t="s">
        <v>29</v>
      </c>
      <c r="AY13" s="7"/>
      <c r="AZ13" s="7" t="s">
        <v>103</v>
      </c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14</v>
      </c>
      <c r="BG13" s="7"/>
      <c r="BH13" s="7"/>
      <c r="BI13" s="7" t="s">
        <v>38</v>
      </c>
      <c r="BJ13" s="7"/>
      <c r="BK13" s="7" t="s">
        <v>14</v>
      </c>
      <c r="BL13" s="7" t="s">
        <v>14</v>
      </c>
      <c r="BM13" s="7" t="s">
        <v>168</v>
      </c>
      <c r="BN13" s="7" t="s">
        <v>29</v>
      </c>
      <c r="BO13" s="7"/>
      <c r="BP13" s="7"/>
      <c r="BQ13" s="7"/>
      <c r="BR13" s="7"/>
      <c r="BS13" s="7" t="s">
        <v>103</v>
      </c>
      <c r="BT13" s="7" t="s">
        <v>103</v>
      </c>
      <c r="BU13" s="7"/>
      <c r="BV13" s="7" t="s">
        <v>169</v>
      </c>
      <c r="BW13" s="7" t="s">
        <v>29</v>
      </c>
      <c r="BX13" s="7"/>
      <c r="BY13" s="7"/>
      <c r="BZ13" s="7"/>
      <c r="CA13" s="7"/>
      <c r="CB13" s="7"/>
      <c r="CC13" s="7" t="s">
        <v>103</v>
      </c>
      <c r="CD13" s="7" t="s">
        <v>170</v>
      </c>
      <c r="CE13" s="7"/>
      <c r="CF13" s="7"/>
      <c r="CG13" s="7" t="s">
        <v>49</v>
      </c>
      <c r="CH13" s="7" t="s">
        <v>103</v>
      </c>
      <c r="CI13" s="7"/>
      <c r="CJ13" s="7"/>
    </row>
    <row r="14" spans="1:88" x14ac:dyDescent="0.55000000000000004">
      <c r="A14" s="7" t="s">
        <v>34</v>
      </c>
      <c r="B14" s="7" t="s">
        <v>136</v>
      </c>
      <c r="C14" s="8">
        <v>43433</v>
      </c>
      <c r="D14" s="7"/>
      <c r="E14" s="7" t="s">
        <v>18</v>
      </c>
      <c r="F14" s="8">
        <v>36446</v>
      </c>
      <c r="G14" s="7" t="str">
        <f>TEXT(F14, "yyyymmdd")</f>
        <v>19991013</v>
      </c>
      <c r="H14" s="7" t="s">
        <v>35</v>
      </c>
      <c r="I14" s="7">
        <f>IF(H14="北海道",1,IF(H14="青森県",2,IF(H14="岩手県",3,IF(H14="宮城県",4,IF(H14="秋田県",5,IF(H14="山形県",6,IF(H14="福島県",7,IF(H14="茨城県",8,IF(H14="栃木県",9,IF(H14="群馬県",10,IF(H14="埼玉県",11,IF(H14="千葉県",12,IF(H14="東京都",13,IF(H14="神奈川県",14,IF(H14="新潟県",15,IF(H14="富山県",16,IF(H14="石川県",17,IF(H14="福井県",18,IF(H14="山梨県",19,IF(H14="長野県",20,IF(H14="岐阜県",21,IF(H14="静岡県",22,IF(H14="愛知県",23,IF(H14="三重県",24,IF(H14="滋賀県",25,IF(H14="京都府",26,IF(H14="大阪府",27,IF(H14="兵庫県",28,IF(H14="奈良県",29,IF(H14="和歌山県",30,IF(H14="鳥取県",31,IF(H14="島根県",32,IF(H14="岡山県",33,IF(H14="広島県",34,IF(H14="山口県",35,IF(H14="徳島県",36,IF(H14="香川県",37,IF(H14="愛媛県",38,IF(H14="高知県",39,IF(H14="福岡県",40,IF(H14="佐賀県",41,IF(H14="長崎県",42,IF(H14="熊本県",43,IF(H14="大分県",44,IF(H14="宮崎県",45,IF(H14="鹿児島県",46,IF(H14="沖縄県",47,"")))))))))))))))))))))))))))))))))))))))))))))))</f>
        <v>45</v>
      </c>
      <c r="J14" s="7">
        <v>159.5</v>
      </c>
      <c r="K14" s="7" t="s">
        <v>161</v>
      </c>
      <c r="L14" s="7" t="s">
        <v>29</v>
      </c>
      <c r="M14" s="7" t="s">
        <v>29</v>
      </c>
      <c r="N14" s="7" t="s">
        <v>29</v>
      </c>
      <c r="O14" s="7"/>
      <c r="P14" s="7"/>
      <c r="Q14" s="7"/>
      <c r="R14" s="7"/>
      <c r="S14" s="7" t="s">
        <v>162</v>
      </c>
      <c r="T14" s="7" t="s">
        <v>29</v>
      </c>
      <c r="U14" s="7" t="s">
        <v>29</v>
      </c>
      <c r="V14" s="7"/>
      <c r="W14" s="7"/>
      <c r="X14" s="7"/>
      <c r="Y14" s="7"/>
      <c r="Z14" s="7" t="s">
        <v>103</v>
      </c>
      <c r="AA14" s="7" t="s">
        <v>163</v>
      </c>
      <c r="AB14" s="7" t="s">
        <v>29</v>
      </c>
      <c r="AC14" s="7" t="s">
        <v>29</v>
      </c>
      <c r="AD14" s="7"/>
      <c r="AE14" s="7" t="s">
        <v>49</v>
      </c>
      <c r="AF14" s="7"/>
      <c r="AG14" s="7" t="s">
        <v>103</v>
      </c>
      <c r="AH14" s="7"/>
      <c r="AI14" s="7" t="s">
        <v>164</v>
      </c>
      <c r="AJ14" s="7" t="s">
        <v>29</v>
      </c>
      <c r="AK14" s="7" t="s">
        <v>29</v>
      </c>
      <c r="AL14" s="7" t="s">
        <v>49</v>
      </c>
      <c r="AM14" s="7"/>
      <c r="AN14" s="7"/>
      <c r="AO14" s="7"/>
      <c r="AP14" s="7" t="s">
        <v>29</v>
      </c>
      <c r="AQ14" s="7" t="s">
        <v>165</v>
      </c>
      <c r="AR14" s="7" t="s">
        <v>29</v>
      </c>
      <c r="AS14" s="7"/>
      <c r="AT14" s="7"/>
      <c r="AU14" s="7"/>
      <c r="AV14" s="7"/>
      <c r="AW14" s="7" t="s">
        <v>166</v>
      </c>
      <c r="AX14" s="7" t="s">
        <v>29</v>
      </c>
      <c r="AY14" s="7"/>
      <c r="AZ14" s="7" t="s">
        <v>38</v>
      </c>
      <c r="BA14" s="7" t="s">
        <v>103</v>
      </c>
      <c r="BB14" s="7" t="s">
        <v>103</v>
      </c>
      <c r="BC14" s="7"/>
      <c r="BD14" s="7" t="s">
        <v>103</v>
      </c>
      <c r="BE14" s="7" t="s">
        <v>167</v>
      </c>
      <c r="BF14" s="7" t="s">
        <v>14</v>
      </c>
      <c r="BG14" s="7"/>
      <c r="BH14" s="7"/>
      <c r="BI14" s="7" t="s">
        <v>49</v>
      </c>
      <c r="BJ14" s="7"/>
      <c r="BK14" s="7" t="s">
        <v>14</v>
      </c>
      <c r="BL14" s="7" t="s">
        <v>14</v>
      </c>
      <c r="BM14" s="7" t="s">
        <v>168</v>
      </c>
      <c r="BN14" s="7" t="s">
        <v>29</v>
      </c>
      <c r="BO14" s="7"/>
      <c r="BP14" s="7"/>
      <c r="BQ14" s="7"/>
      <c r="BR14" s="7"/>
      <c r="BS14" s="7" t="s">
        <v>103</v>
      </c>
      <c r="BT14" s="7" t="s">
        <v>103</v>
      </c>
      <c r="BU14" s="7"/>
      <c r="BV14" s="7" t="s">
        <v>169</v>
      </c>
      <c r="BW14" s="7" t="s">
        <v>29</v>
      </c>
      <c r="BX14" s="7"/>
      <c r="BY14" s="7"/>
      <c r="BZ14" s="7"/>
      <c r="CA14" s="7"/>
      <c r="CB14" s="7"/>
      <c r="CC14" s="7" t="s">
        <v>103</v>
      </c>
      <c r="CD14" s="7" t="s">
        <v>170</v>
      </c>
      <c r="CE14" s="7" t="s">
        <v>29</v>
      </c>
      <c r="CF14" s="7"/>
      <c r="CG14" s="7"/>
      <c r="CH14" s="7"/>
      <c r="CI14" s="7" t="s">
        <v>103</v>
      </c>
      <c r="CJ14" s="7"/>
    </row>
    <row r="15" spans="1:88" x14ac:dyDescent="0.55000000000000004">
      <c r="A15" s="7" t="s">
        <v>36</v>
      </c>
      <c r="B15" s="7" t="s">
        <v>137</v>
      </c>
      <c r="C15" s="8">
        <v>43433</v>
      </c>
      <c r="D15" s="7"/>
      <c r="E15" s="7" t="s">
        <v>18</v>
      </c>
      <c r="F15" s="8">
        <v>37082</v>
      </c>
      <c r="G15" s="7" t="str">
        <f>TEXT(F15, "yyyymmdd")</f>
        <v>20010710</v>
      </c>
      <c r="H15" s="7" t="s">
        <v>37</v>
      </c>
      <c r="I15" s="7">
        <f>IF(H15="北海道",1,IF(H15="青森県",2,IF(H15="岩手県",3,IF(H15="宮城県",4,IF(H15="秋田県",5,IF(H15="山形県",6,IF(H15="福島県",7,IF(H15="茨城県",8,IF(H15="栃木県",9,IF(H15="群馬県",10,IF(H15="埼玉県",11,IF(H15="千葉県",12,IF(H15="東京都",13,IF(H15="神奈川県",14,IF(H15="新潟県",15,IF(H15="富山県",16,IF(H15="石川県",17,IF(H15="福井県",18,IF(H15="山梨県",19,IF(H15="長野県",20,IF(H15="岐阜県",21,IF(H15="静岡県",22,IF(H15="愛知県",23,IF(H15="三重県",24,IF(H15="滋賀県",25,IF(H15="京都府",26,IF(H15="大阪府",27,IF(H15="兵庫県",28,IF(H15="奈良県",29,IF(H15="和歌山県",30,IF(H15="鳥取県",31,IF(H15="島根県",32,IF(H15="岡山県",33,IF(H15="広島県",34,IF(H15="山口県",35,IF(H15="徳島県",36,IF(H15="香川県",37,IF(H15="愛媛県",38,IF(H15="高知県",39,IF(H15="福岡県",40,IF(H15="佐賀県",41,IF(H15="長崎県",42,IF(H15="熊本県",43,IF(H15="大分県",44,IF(H15="宮崎県",45,IF(H15="鹿児島県",46,IF(H15="沖縄県",47,"")))))))))))))))))))))))))))))))))))))))))))))))</f>
        <v>40</v>
      </c>
      <c r="J15" s="7">
        <v>150.5</v>
      </c>
      <c r="K15" s="7" t="s">
        <v>161</v>
      </c>
      <c r="L15" s="7" t="s">
        <v>38</v>
      </c>
      <c r="M15" s="7" t="s">
        <v>38</v>
      </c>
      <c r="N15" s="7" t="s">
        <v>38</v>
      </c>
      <c r="O15" s="7" t="s">
        <v>14</v>
      </c>
      <c r="P15" s="7" t="s">
        <v>14</v>
      </c>
      <c r="Q15" s="7" t="s">
        <v>14</v>
      </c>
      <c r="R15" s="7" t="s">
        <v>14</v>
      </c>
      <c r="S15" s="7" t="s">
        <v>162</v>
      </c>
      <c r="T15" s="7" t="s">
        <v>38</v>
      </c>
      <c r="U15" s="7" t="s">
        <v>38</v>
      </c>
      <c r="V15" s="7" t="s">
        <v>14</v>
      </c>
      <c r="W15" s="7" t="s">
        <v>14</v>
      </c>
      <c r="X15" s="7" t="s">
        <v>14</v>
      </c>
      <c r="Y15" s="7" t="s">
        <v>14</v>
      </c>
      <c r="Z15" s="7" t="s">
        <v>103</v>
      </c>
      <c r="AA15" s="7" t="s">
        <v>163</v>
      </c>
      <c r="AB15" s="7" t="s">
        <v>49</v>
      </c>
      <c r="AC15" s="7" t="s">
        <v>49</v>
      </c>
      <c r="AD15" s="7" t="s">
        <v>38</v>
      </c>
      <c r="AE15" s="7"/>
      <c r="AF15" s="7"/>
      <c r="AG15" s="7"/>
      <c r="AH15" s="7" t="s">
        <v>49</v>
      </c>
      <c r="AI15" s="7" t="s">
        <v>164</v>
      </c>
      <c r="AJ15" s="7" t="s">
        <v>49</v>
      </c>
      <c r="AK15" s="7" t="s">
        <v>49</v>
      </c>
      <c r="AL15" s="7"/>
      <c r="AM15" s="7" t="s">
        <v>49</v>
      </c>
      <c r="AN15" s="7" t="s">
        <v>103</v>
      </c>
      <c r="AO15" s="7" t="s">
        <v>38</v>
      </c>
      <c r="AP15" s="7" t="s">
        <v>49</v>
      </c>
      <c r="AQ15" s="7" t="s">
        <v>165</v>
      </c>
      <c r="AR15" s="7" t="s">
        <v>38</v>
      </c>
      <c r="AS15" s="7" t="s">
        <v>14</v>
      </c>
      <c r="AT15" s="7" t="s">
        <v>103</v>
      </c>
      <c r="AU15" s="7"/>
      <c r="AV15" s="7"/>
      <c r="AW15" s="7" t="s">
        <v>166</v>
      </c>
      <c r="AX15" s="7" t="s">
        <v>14</v>
      </c>
      <c r="AY15" s="7" t="s">
        <v>14</v>
      </c>
      <c r="AZ15" s="7"/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49</v>
      </c>
      <c r="BG15" s="7"/>
      <c r="BH15" s="7"/>
      <c r="BI15" s="7" t="s">
        <v>49</v>
      </c>
      <c r="BJ15" s="7"/>
      <c r="BK15" s="7" t="s">
        <v>49</v>
      </c>
      <c r="BL15" s="7" t="s">
        <v>49</v>
      </c>
      <c r="BM15" s="7" t="s">
        <v>168</v>
      </c>
      <c r="BN15" s="7" t="s">
        <v>38</v>
      </c>
      <c r="BO15" s="7"/>
      <c r="BP15" s="7"/>
      <c r="BQ15" s="7" t="s">
        <v>103</v>
      </c>
      <c r="BR15" s="7"/>
      <c r="BS15" s="7" t="s">
        <v>38</v>
      </c>
      <c r="BT15" s="7" t="s">
        <v>103</v>
      </c>
      <c r="BU15" s="7"/>
      <c r="BV15" s="7" t="s">
        <v>169</v>
      </c>
      <c r="BW15" s="7" t="s">
        <v>49</v>
      </c>
      <c r="BX15" s="7"/>
      <c r="BY15" s="7"/>
      <c r="BZ15" s="7"/>
      <c r="CA15" s="7" t="s">
        <v>103</v>
      </c>
      <c r="CB15" s="7"/>
      <c r="CC15" s="7" t="s">
        <v>103</v>
      </c>
      <c r="CD15" s="7" t="s">
        <v>170</v>
      </c>
      <c r="CE15" s="7" t="s">
        <v>14</v>
      </c>
      <c r="CF15" s="7"/>
      <c r="CG15" s="7"/>
      <c r="CH15" s="7"/>
      <c r="CI15" s="7"/>
      <c r="CJ15" s="7"/>
    </row>
    <row r="16" spans="1:88" x14ac:dyDescent="0.55000000000000004">
      <c r="A16" s="7" t="s">
        <v>39</v>
      </c>
      <c r="B16" s="7" t="s">
        <v>138</v>
      </c>
      <c r="C16" s="8">
        <v>43877</v>
      </c>
      <c r="D16" s="7"/>
      <c r="E16" s="7" t="s">
        <v>18</v>
      </c>
      <c r="F16" s="8">
        <v>36527</v>
      </c>
      <c r="G16" s="7" t="str">
        <f>TEXT(F16, "yyyymmdd")</f>
        <v>20000102</v>
      </c>
      <c r="H16" s="7" t="s">
        <v>16</v>
      </c>
      <c r="I16" s="7">
        <f>IF(H16="北海道",1,IF(H16="青森県",2,IF(H16="岩手県",3,IF(H16="宮城県",4,IF(H16="秋田県",5,IF(H16="山形県",6,IF(H16="福島県",7,IF(H16="茨城県",8,IF(H16="栃木県",9,IF(H16="群馬県",10,IF(H16="埼玉県",11,IF(H16="千葉県",12,IF(H16="東京都",13,IF(H16="神奈川県",14,IF(H16="新潟県",15,IF(H16="富山県",16,IF(H16="石川県",17,IF(H16="福井県",18,IF(H16="山梨県",19,IF(H16="長野県",20,IF(H16="岐阜県",21,IF(H16="静岡県",22,IF(H16="愛知県",23,IF(H16="三重県",24,IF(H16="滋賀県",25,IF(H16="京都府",26,IF(H16="大阪府",27,IF(H16="兵庫県",28,IF(H16="奈良県",29,IF(H16="和歌山県",30,IF(H16="鳥取県",31,IF(H16="島根県",32,IF(H16="岡山県",33,IF(H16="広島県",34,IF(H16="山口県",35,IF(H16="徳島県",36,IF(H16="香川県",37,IF(H16="愛媛県",38,IF(H16="高知県",39,IF(H16="福岡県",40,IF(H16="佐賀県",41,IF(H16="長崎県",42,IF(H16="熊本県",43,IF(H16="大分県",44,IF(H16="宮崎県",45,IF(H16="鹿児島県",46,IF(H16="沖縄県",47,"")))))))))))))))))))))))))))))))))))))))))))))))</f>
        <v>13</v>
      </c>
      <c r="J16" s="7">
        <v>154</v>
      </c>
      <c r="K16" s="7" t="s">
        <v>161</v>
      </c>
      <c r="L16" s="7"/>
      <c r="M16" s="7"/>
      <c r="N16" s="7"/>
      <c r="O16" s="7"/>
      <c r="P16" s="7"/>
      <c r="Q16" s="7" t="s">
        <v>29</v>
      </c>
      <c r="R16" s="7" t="s">
        <v>29</v>
      </c>
      <c r="S16" s="7" t="s">
        <v>162</v>
      </c>
      <c r="T16" s="7" t="s">
        <v>29</v>
      </c>
      <c r="U16" s="7" t="s">
        <v>29</v>
      </c>
      <c r="V16" s="7"/>
      <c r="W16" s="7"/>
      <c r="X16" s="7"/>
      <c r="Y16" s="7"/>
      <c r="Z16" s="7" t="s">
        <v>103</v>
      </c>
      <c r="AA16" s="7" t="s">
        <v>163</v>
      </c>
      <c r="AB16" s="7" t="s">
        <v>29</v>
      </c>
      <c r="AC16" s="7" t="s">
        <v>29</v>
      </c>
      <c r="AD16" s="7"/>
      <c r="AE16" s="7" t="s">
        <v>49</v>
      </c>
      <c r="AF16" s="7"/>
      <c r="AG16" s="7"/>
      <c r="AH16" s="7"/>
      <c r="AI16" s="7" t="s">
        <v>164</v>
      </c>
      <c r="AJ16" s="7" t="s">
        <v>14</v>
      </c>
      <c r="AK16" s="7" t="s">
        <v>14</v>
      </c>
      <c r="AL16" s="7"/>
      <c r="AM16" s="7" t="s">
        <v>14</v>
      </c>
      <c r="AN16" s="7" t="s">
        <v>103</v>
      </c>
      <c r="AO16" s="7" t="s">
        <v>14</v>
      </c>
      <c r="AP16" s="7" t="s">
        <v>14</v>
      </c>
      <c r="AQ16" s="7" t="s">
        <v>165</v>
      </c>
      <c r="AR16" s="7" t="s">
        <v>14</v>
      </c>
      <c r="AS16" s="7" t="s">
        <v>49</v>
      </c>
      <c r="AT16" s="7"/>
      <c r="AU16" s="7"/>
      <c r="AV16" s="7" t="s">
        <v>103</v>
      </c>
      <c r="AW16" s="7" t="s">
        <v>166</v>
      </c>
      <c r="AX16" s="7" t="s">
        <v>38</v>
      </c>
      <c r="AY16" s="7" t="s">
        <v>14</v>
      </c>
      <c r="AZ16" s="7"/>
      <c r="BA16" s="7" t="s">
        <v>38</v>
      </c>
      <c r="BB16" s="7" t="s">
        <v>38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14</v>
      </c>
      <c r="BJ16" s="7"/>
      <c r="BK16" s="7" t="s">
        <v>49</v>
      </c>
      <c r="BL16" s="7" t="s">
        <v>49</v>
      </c>
      <c r="BM16" s="7" t="s">
        <v>168</v>
      </c>
      <c r="BN16" s="7" t="s">
        <v>14</v>
      </c>
      <c r="BO16" s="7"/>
      <c r="BP16" s="7"/>
      <c r="BQ16" s="7"/>
      <c r="BR16" s="7"/>
      <c r="BS16" s="7" t="s">
        <v>103</v>
      </c>
      <c r="BT16" s="7" t="s">
        <v>103</v>
      </c>
      <c r="BU16" s="7"/>
      <c r="BV16" s="7" t="s">
        <v>169</v>
      </c>
      <c r="BW16" s="7" t="s">
        <v>14</v>
      </c>
      <c r="BX16" s="7"/>
      <c r="BY16" s="7"/>
      <c r="BZ16" s="7"/>
      <c r="CA16" s="7"/>
      <c r="CB16" s="7"/>
      <c r="CC16" s="7" t="s">
        <v>103</v>
      </c>
      <c r="CD16" s="7" t="s">
        <v>170</v>
      </c>
      <c r="CE16" s="7" t="s">
        <v>49</v>
      </c>
      <c r="CF16" s="7"/>
      <c r="CG16" s="7"/>
      <c r="CH16" s="7"/>
      <c r="CI16" s="7"/>
      <c r="CJ16" s="7"/>
    </row>
    <row r="17" spans="1:88" x14ac:dyDescent="0.55000000000000004">
      <c r="A17" s="7" t="s">
        <v>104</v>
      </c>
      <c r="B17" s="7" t="s">
        <v>139</v>
      </c>
      <c r="C17" s="8">
        <v>43433</v>
      </c>
      <c r="D17" s="7"/>
      <c r="E17" s="7" t="s">
        <v>18</v>
      </c>
      <c r="F17" s="8">
        <v>38623</v>
      </c>
      <c r="G17" s="7" t="str">
        <f>TEXT(F17, "yyyymmdd")</f>
        <v>20050928</v>
      </c>
      <c r="H17" s="7" t="s">
        <v>31</v>
      </c>
      <c r="I17" s="7">
        <f>IF(H17="北海道",1,IF(H17="青森県",2,IF(H17="岩手県",3,IF(H17="宮城県",4,IF(H17="秋田県",5,IF(H17="山形県",6,IF(H17="福島県",7,IF(H17="茨城県",8,IF(H17="栃木県",9,IF(H17="群馬県",10,IF(H17="埼玉県",11,IF(H17="千葉県",12,IF(H17="東京都",13,IF(H17="神奈川県",14,IF(H17="新潟県",15,IF(H17="富山県",16,IF(H17="石川県",17,IF(H17="福井県",18,IF(H17="山梨県",19,IF(H17="長野県",20,IF(H17="岐阜県",21,IF(H17="静岡県",22,IF(H17="愛知県",23,IF(H17="三重県",24,IF(H17="滋賀県",25,IF(H17="京都府",26,IF(H17="大阪府",27,IF(H17="兵庫県",28,IF(H17="奈良県",29,IF(H17="和歌山県",30,IF(H17="鳥取県",31,IF(H17="島根県",32,IF(H17="岡山県",33,IF(H17="広島県",34,IF(H17="山口県",35,IF(H17="徳島県",36,IF(H17="香川県",37,IF(H17="愛媛県",38,IF(H17="高知県",39,IF(H17="福岡県",40,IF(H17="佐賀県",41,IF(H17="長崎県",42,IF(H17="熊本県",43,IF(H17="大分県",44,IF(H17="宮崎県",45,IF(H17="鹿児島県",46,IF(H17="沖縄県",47,"")))))))))))))))))))))))))))))))))))))))))))))))</f>
        <v>27</v>
      </c>
      <c r="J17" s="7">
        <v>168.4</v>
      </c>
      <c r="K17" s="7" t="s">
        <v>161</v>
      </c>
      <c r="L17" s="7" t="s">
        <v>14</v>
      </c>
      <c r="M17" s="7" t="s">
        <v>14</v>
      </c>
      <c r="N17" s="7" t="s">
        <v>14</v>
      </c>
      <c r="O17" s="7" t="s">
        <v>14</v>
      </c>
      <c r="P17" s="7" t="s">
        <v>14</v>
      </c>
      <c r="Q17" s="7" t="s">
        <v>38</v>
      </c>
      <c r="R17" s="7" t="s">
        <v>38</v>
      </c>
      <c r="S17" s="7" t="s">
        <v>162</v>
      </c>
      <c r="T17" s="7" t="s">
        <v>14</v>
      </c>
      <c r="U17" s="7" t="s">
        <v>14</v>
      </c>
      <c r="V17" s="7" t="s">
        <v>14</v>
      </c>
      <c r="W17" s="7" t="s">
        <v>14</v>
      </c>
      <c r="X17" s="7" t="s">
        <v>38</v>
      </c>
      <c r="Y17" s="7" t="s">
        <v>38</v>
      </c>
      <c r="Z17" s="7" t="s">
        <v>103</v>
      </c>
      <c r="AA17" s="7" t="s">
        <v>163</v>
      </c>
      <c r="AB17" s="7" t="s">
        <v>49</v>
      </c>
      <c r="AC17" s="7" t="s">
        <v>49</v>
      </c>
      <c r="AD17" s="7" t="s">
        <v>49</v>
      </c>
      <c r="AE17" s="7"/>
      <c r="AF17" s="7"/>
      <c r="AG17" s="7"/>
      <c r="AH17" s="7" t="s">
        <v>49</v>
      </c>
      <c r="AI17" s="7" t="s">
        <v>164</v>
      </c>
      <c r="AJ17" s="7" t="s">
        <v>38</v>
      </c>
      <c r="AK17" s="7" t="s">
        <v>14</v>
      </c>
      <c r="AL17" s="7"/>
      <c r="AM17" s="7" t="s">
        <v>49</v>
      </c>
      <c r="AN17" s="7" t="s">
        <v>103</v>
      </c>
      <c r="AO17" s="7" t="s">
        <v>49</v>
      </c>
      <c r="AP17" s="7" t="s">
        <v>38</v>
      </c>
      <c r="AQ17" s="7" t="s">
        <v>165</v>
      </c>
      <c r="AR17" s="7" t="s">
        <v>38</v>
      </c>
      <c r="AS17" s="7" t="s">
        <v>38</v>
      </c>
      <c r="AT17" s="7"/>
      <c r="AU17" s="7"/>
      <c r="AV17" s="7"/>
      <c r="AW17" s="7" t="s">
        <v>166</v>
      </c>
      <c r="AX17" s="7" t="s">
        <v>14</v>
      </c>
      <c r="AY17" s="7" t="s">
        <v>14</v>
      </c>
      <c r="AZ17" s="7"/>
      <c r="BA17" s="7" t="s">
        <v>103</v>
      </c>
      <c r="BB17" s="7" t="s">
        <v>103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49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 t="s">
        <v>38</v>
      </c>
      <c r="BR17" s="7"/>
      <c r="BS17" s="7" t="s">
        <v>103</v>
      </c>
      <c r="BT17" s="7" t="s">
        <v>103</v>
      </c>
      <c r="BU17" s="7"/>
      <c r="BV17" s="7" t="s">
        <v>169</v>
      </c>
      <c r="BW17" s="7" t="s">
        <v>38</v>
      </c>
      <c r="BX17" s="7"/>
      <c r="BY17" s="7"/>
      <c r="BZ17" s="7" t="s">
        <v>103</v>
      </c>
      <c r="CA17" s="7"/>
      <c r="CB17" s="7"/>
      <c r="CC17" s="7" t="s">
        <v>103</v>
      </c>
      <c r="CD17" s="7" t="s">
        <v>170</v>
      </c>
      <c r="CE17" s="7" t="s">
        <v>14</v>
      </c>
      <c r="CF17" s="7"/>
      <c r="CG17" s="7"/>
      <c r="CH17" s="7"/>
      <c r="CI17" s="7"/>
      <c r="CJ17" s="7"/>
    </row>
    <row r="18" spans="1:88" x14ac:dyDescent="0.55000000000000004">
      <c r="A18" s="7" t="s">
        <v>40</v>
      </c>
      <c r="B18" s="7" t="s">
        <v>140</v>
      </c>
      <c r="C18" s="8">
        <v>44931</v>
      </c>
      <c r="D18" s="7"/>
      <c r="E18" s="7" t="s">
        <v>41</v>
      </c>
      <c r="F18" s="8">
        <v>37269</v>
      </c>
      <c r="G18" s="7" t="str">
        <f>TEXT(F18, "yyyymmdd")</f>
        <v>20020113</v>
      </c>
      <c r="H18" s="7" t="s">
        <v>42</v>
      </c>
      <c r="I18" s="7">
        <f>IF(H18="北海道",1,IF(H18="青森県",2,IF(H18="岩手県",3,IF(H18="宮城県",4,IF(H18="秋田県",5,IF(H18="山形県",6,IF(H18="福島県",7,IF(H18="茨城県",8,IF(H18="栃木県",9,IF(H18="群馬県",10,IF(H18="埼玉県",11,IF(H18="千葉県",12,IF(H18="東京都",13,IF(H18="神奈川県",14,IF(H18="新潟県",15,IF(H18="富山県",16,IF(H18="石川県",17,IF(H18="福井県",18,IF(H18="山梨県",19,IF(H18="長野県",20,IF(H18="岐阜県",21,IF(H18="静岡県",22,IF(H18="愛知県",23,IF(H18="三重県",24,IF(H18="滋賀県",25,IF(H18="京都府",26,IF(H18="大阪府",27,IF(H18="兵庫県",28,IF(H18="奈良県",29,IF(H18="和歌山県",30,IF(H18="鳥取県",31,IF(H18="島根県",32,IF(H18="岡山県",33,IF(H18="広島県",34,IF(H18="山口県",35,IF(H18="徳島県",36,IF(H18="香川県",37,IF(H18="愛媛県",38,IF(H18="高知県",39,IF(H18="福岡県",40,IF(H18="佐賀県",41,IF(H18="長崎県",42,IF(H18="熊本県",43,IF(H18="大分県",44,IF(H18="宮崎県",45,IF(H18="鹿児島県",46,IF(H18="沖縄県",47,"")))))))))))))))))))))))))))))))))))))))))))))))</f>
        <v>10</v>
      </c>
      <c r="J18" s="7">
        <v>159</v>
      </c>
      <c r="K18" s="7" t="s">
        <v>161</v>
      </c>
      <c r="L18" s="7" t="s">
        <v>177</v>
      </c>
      <c r="M18" s="7" t="s">
        <v>177</v>
      </c>
      <c r="N18" s="7" t="s">
        <v>177</v>
      </c>
      <c r="O18" s="7" t="s">
        <v>177</v>
      </c>
      <c r="P18" s="7" t="s">
        <v>177</v>
      </c>
      <c r="Q18" s="7" t="s">
        <v>177</v>
      </c>
      <c r="R18" s="7" t="s">
        <v>177</v>
      </c>
      <c r="S18" s="7" t="s">
        <v>162</v>
      </c>
      <c r="T18" s="7" t="s">
        <v>177</v>
      </c>
      <c r="U18" s="7" t="s">
        <v>177</v>
      </c>
      <c r="V18" s="7" t="s">
        <v>177</v>
      </c>
      <c r="W18" s="7" t="s">
        <v>177</v>
      </c>
      <c r="X18" s="7" t="s">
        <v>177</v>
      </c>
      <c r="Y18" s="7" t="s">
        <v>177</v>
      </c>
      <c r="Z18" s="7" t="s">
        <v>177</v>
      </c>
      <c r="AA18" s="7" t="s">
        <v>163</v>
      </c>
      <c r="AB18" s="7" t="s">
        <v>177</v>
      </c>
      <c r="AC18" s="7" t="s">
        <v>177</v>
      </c>
      <c r="AD18" s="7" t="s">
        <v>177</v>
      </c>
      <c r="AE18" s="7" t="s">
        <v>177</v>
      </c>
      <c r="AF18" s="7" t="s">
        <v>177</v>
      </c>
      <c r="AG18" s="7" t="s">
        <v>177</v>
      </c>
      <c r="AH18" s="7" t="s">
        <v>177</v>
      </c>
      <c r="AI18" s="7" t="s">
        <v>164</v>
      </c>
      <c r="AJ18" s="7" t="s">
        <v>177</v>
      </c>
      <c r="AK18" s="7" t="s">
        <v>177</v>
      </c>
      <c r="AL18" s="7" t="s">
        <v>177</v>
      </c>
      <c r="AM18" s="7" t="s">
        <v>177</v>
      </c>
      <c r="AN18" s="7" t="s">
        <v>177</v>
      </c>
      <c r="AO18" s="7" t="s">
        <v>177</v>
      </c>
      <c r="AP18" s="7" t="s">
        <v>177</v>
      </c>
      <c r="AQ18" s="7" t="s">
        <v>165</v>
      </c>
      <c r="AR18" s="7" t="s">
        <v>177</v>
      </c>
      <c r="AS18" s="7" t="s">
        <v>177</v>
      </c>
      <c r="AT18" s="7" t="s">
        <v>177</v>
      </c>
      <c r="AU18" s="7" t="s">
        <v>177</v>
      </c>
      <c r="AV18" s="7" t="s">
        <v>177</v>
      </c>
      <c r="AW18" s="7" t="s">
        <v>166</v>
      </c>
      <c r="AX18" s="7"/>
      <c r="AY18" s="7"/>
      <c r="AZ18" s="7"/>
      <c r="BA18" s="7"/>
      <c r="BB18" s="7"/>
      <c r="BC18" s="7" t="s">
        <v>14</v>
      </c>
      <c r="BD18" s="7" t="s">
        <v>177</v>
      </c>
      <c r="BE18" s="7" t="s">
        <v>167</v>
      </c>
      <c r="BF18" s="7"/>
      <c r="BG18" s="7" t="s">
        <v>29</v>
      </c>
      <c r="BH18" s="7"/>
      <c r="BI18" s="7"/>
      <c r="BJ18" s="7" t="s">
        <v>14</v>
      </c>
      <c r="BK18" s="7"/>
      <c r="BL18" s="7"/>
      <c r="BM18" s="7" t="s">
        <v>168</v>
      </c>
      <c r="BN18" s="7"/>
      <c r="BO18" s="7" t="s">
        <v>49</v>
      </c>
      <c r="BP18" s="7" t="s">
        <v>14</v>
      </c>
      <c r="BQ18" s="7"/>
      <c r="BR18" s="7"/>
      <c r="BS18" s="7"/>
      <c r="BT18" s="7"/>
      <c r="BU18" s="7"/>
      <c r="BV18" s="7" t="s">
        <v>169</v>
      </c>
      <c r="BW18" s="7"/>
      <c r="BX18" s="7" t="s">
        <v>103</v>
      </c>
      <c r="BY18" s="7" t="s">
        <v>103</v>
      </c>
      <c r="BZ18" s="7"/>
      <c r="CA18" s="7"/>
      <c r="CB18" s="7"/>
      <c r="CC18" s="7"/>
      <c r="CD18" s="7" t="s">
        <v>170</v>
      </c>
      <c r="CE18" s="7"/>
      <c r="CF18" s="7" t="s">
        <v>29</v>
      </c>
      <c r="CG18" s="7" t="s">
        <v>38</v>
      </c>
      <c r="CH18" s="7"/>
      <c r="CI18" s="7"/>
      <c r="CJ18" s="7"/>
    </row>
    <row r="19" spans="1:88" x14ac:dyDescent="0.55000000000000004">
      <c r="A19" s="7" t="s">
        <v>43</v>
      </c>
      <c r="B19" s="7" t="s">
        <v>141</v>
      </c>
      <c r="C19" s="8">
        <v>44931</v>
      </c>
      <c r="D19" s="7"/>
      <c r="E19" s="7" t="s">
        <v>41</v>
      </c>
      <c r="F19" s="8">
        <v>38726</v>
      </c>
      <c r="G19" s="7" t="str">
        <f>TEXT(F19, "yyyymmdd")</f>
        <v>20060109</v>
      </c>
      <c r="H19" s="7" t="s">
        <v>44</v>
      </c>
      <c r="I19" s="7">
        <f>IF(H19="北海道",1,IF(H19="青森県",2,IF(H19="岩手県",3,IF(H19="宮城県",4,IF(H19="秋田県",5,IF(H19="山形県",6,IF(H19="福島県",7,IF(H19="茨城県",8,IF(H19="栃木県",9,IF(H19="群馬県",10,IF(H19="埼玉県",11,IF(H19="千葉県",12,IF(H19="東京都",13,IF(H19="神奈川県",14,IF(H19="新潟県",15,IF(H19="富山県",16,IF(H19="石川県",17,IF(H19="福井県",18,IF(H19="山梨県",19,IF(H19="長野県",20,IF(H19="岐阜県",21,IF(H19="静岡県",22,IF(H19="愛知県",23,IF(H19="三重県",24,IF(H19="滋賀県",25,IF(H19="京都府",26,IF(H19="大阪府",27,IF(H19="兵庫県",28,IF(H19="奈良県",29,IF(H19="和歌山県",30,IF(H19="鳥取県",31,IF(H19="島根県",32,IF(H19="岡山県",33,IF(H19="広島県",34,IF(H19="山口県",35,IF(H19="徳島県",36,IF(H19="香川県",37,IF(H19="愛媛県",38,IF(H19="高知県",39,IF(H19="福岡県",40,IF(H19="佐賀県",41,IF(H19="長崎県",42,IF(H19="熊本県",43,IF(H19="大分県",44,IF(H19="宮崎県",45,IF(H19="鹿児島県",46,IF(H19="沖縄県",47,"")))))))))))))))))))))))))))))))))))))))))))))))</f>
        <v>11</v>
      </c>
      <c r="J19" s="7">
        <v>155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14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14</v>
      </c>
      <c r="BP19" s="7" t="s">
        <v>29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14</v>
      </c>
      <c r="CG19" s="7" t="s">
        <v>14</v>
      </c>
      <c r="CH19" s="7"/>
      <c r="CI19" s="7"/>
      <c r="CJ19" s="7"/>
    </row>
    <row r="20" spans="1:88" x14ac:dyDescent="0.55000000000000004">
      <c r="A20" s="7" t="s">
        <v>105</v>
      </c>
      <c r="B20" s="7" t="s">
        <v>142</v>
      </c>
      <c r="C20" s="8">
        <v>44931</v>
      </c>
      <c r="D20" s="7"/>
      <c r="E20" s="7" t="s">
        <v>41</v>
      </c>
      <c r="F20" s="8">
        <v>38193</v>
      </c>
      <c r="G20" s="7" t="str">
        <f>TEXT(F20, "yyyymmdd")</f>
        <v>20040725</v>
      </c>
      <c r="H20" s="7" t="s">
        <v>16</v>
      </c>
      <c r="I20" s="7">
        <f>IF(H20="北海道",1,IF(H20="青森県",2,IF(H20="岩手県",3,IF(H20="宮城県",4,IF(H20="秋田県",5,IF(H20="山形県",6,IF(H20="福島県",7,IF(H20="茨城県",8,IF(H20="栃木県",9,IF(H20="群馬県",10,IF(H20="埼玉県",11,IF(H20="千葉県",12,IF(H20="東京都",13,IF(H20="神奈川県",14,IF(H20="新潟県",15,IF(H20="富山県",16,IF(H20="石川県",17,IF(H20="福井県",18,IF(H20="山梨県",19,IF(H20="長野県",20,IF(H20="岐阜県",21,IF(H20="静岡県",22,IF(H20="愛知県",23,IF(H20="三重県",24,IF(H20="滋賀県",25,IF(H20="京都府",26,IF(H20="大阪府",27,IF(H20="兵庫県",28,IF(H20="奈良県",29,IF(H20="和歌山県",30,IF(H20="鳥取県",31,IF(H20="島根県",32,IF(H20="岡山県",33,IF(H20="広島県",34,IF(H20="山口県",35,IF(H20="徳島県",36,IF(H20="香川県",37,IF(H20="愛媛県",38,IF(H20="高知県",39,IF(H20="福岡県",40,IF(H20="佐賀県",41,IF(H20="長崎県",42,IF(H20="熊本県",43,IF(H20="大分県",44,IF(H20="宮崎県",45,IF(H20="鹿児島県",46,IF(H20="沖縄県",47,"")))))))))))))))))))))))))))))))))))))))))))))))</f>
        <v>13</v>
      </c>
      <c r="J20" s="7">
        <v>163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29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14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29</v>
      </c>
      <c r="CH20" s="7"/>
      <c r="CI20" s="7"/>
      <c r="CJ20" s="7"/>
    </row>
    <row r="21" spans="1:88" x14ac:dyDescent="0.55000000000000004">
      <c r="A21" s="7" t="s">
        <v>106</v>
      </c>
      <c r="B21" s="7" t="s">
        <v>143</v>
      </c>
      <c r="C21" s="8">
        <v>44931</v>
      </c>
      <c r="D21" s="7"/>
      <c r="E21" s="7" t="s">
        <v>41</v>
      </c>
      <c r="F21" s="8">
        <v>38540</v>
      </c>
      <c r="G21" s="7" t="str">
        <f>TEXT(F21, "yyyymmdd")</f>
        <v>20050707</v>
      </c>
      <c r="H21" s="7" t="s">
        <v>45</v>
      </c>
      <c r="I21" s="7">
        <f>IF(H21="北海道",1,IF(H21="青森県",2,IF(H21="岩手県",3,IF(H21="宮城県",4,IF(H21="秋田県",5,IF(H21="山形県",6,IF(H21="福島県",7,IF(H21="茨城県",8,IF(H21="栃木県",9,IF(H21="群馬県",10,IF(H21="埼玉県",11,IF(H21="千葉県",12,IF(H21="東京都",13,IF(H21="神奈川県",14,IF(H21="新潟県",15,IF(H21="富山県",16,IF(H21="石川県",17,IF(H21="福井県",18,IF(H21="山梨県",19,IF(H21="長野県",20,IF(H21="岐阜県",21,IF(H21="静岡県",22,IF(H21="愛知県",23,IF(H21="三重県",24,IF(H21="滋賀県",25,IF(H21="京都府",26,IF(H21="大阪府",27,IF(H21="兵庫県",28,IF(H21="奈良県",29,IF(H21="和歌山県",30,IF(H21="鳥取県",31,IF(H21="島根県",32,IF(H21="岡山県",33,IF(H21="広島県",34,IF(H21="山口県",35,IF(H21="徳島県",36,IF(H21="香川県",37,IF(H21="愛媛県",38,IF(H21="高知県",39,IF(H21="福岡県",40,IF(H21="佐賀県",41,IF(H21="長崎県",42,IF(H21="熊本県",43,IF(H21="大分県",44,IF(H21="宮崎県",45,IF(H21="鹿児島県",46,IF(H21="沖縄県",47,"")))))))))))))))))))))))))))))))))))))))))))))))</f>
        <v>20</v>
      </c>
      <c r="J21" s="7">
        <v>165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49</v>
      </c>
      <c r="BH21" s="7"/>
      <c r="BI21" s="7"/>
      <c r="BJ21" s="7" t="s">
        <v>29</v>
      </c>
      <c r="BK21" s="7"/>
      <c r="BL21" s="7"/>
      <c r="BM21" s="7" t="s">
        <v>168</v>
      </c>
      <c r="BN21" s="7"/>
      <c r="BO21" s="7" t="s">
        <v>38</v>
      </c>
      <c r="BP21" s="7" t="s">
        <v>29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 t="s">
        <v>103</v>
      </c>
      <c r="CA21" s="7"/>
      <c r="CB21" s="7"/>
      <c r="CC21" s="7"/>
      <c r="CD21" s="7" t="s">
        <v>170</v>
      </c>
      <c r="CE21" s="7"/>
      <c r="CF21" s="7" t="s">
        <v>14</v>
      </c>
      <c r="CG21" s="7" t="s">
        <v>14</v>
      </c>
      <c r="CH21" s="7"/>
      <c r="CI21" s="7"/>
      <c r="CJ21" s="7"/>
    </row>
    <row r="22" spans="1:88" x14ac:dyDescent="0.55000000000000004">
      <c r="A22" s="7" t="s">
        <v>107</v>
      </c>
      <c r="B22" s="7" t="s">
        <v>144</v>
      </c>
      <c r="C22" s="8">
        <v>44931</v>
      </c>
      <c r="D22" s="7"/>
      <c r="E22" s="7" t="s">
        <v>41</v>
      </c>
      <c r="F22" s="8">
        <v>38454</v>
      </c>
      <c r="G22" s="7" t="str">
        <f>TEXT(F22, "yyyymmdd")</f>
        <v>20050412</v>
      </c>
      <c r="H22" s="7" t="s">
        <v>46</v>
      </c>
      <c r="I22" s="7">
        <f>IF(H22="北海道",1,IF(H22="青森県",2,IF(H22="岩手県",3,IF(H22="宮城県",4,IF(H22="秋田県",5,IF(H22="山形県",6,IF(H22="福島県",7,IF(H22="茨城県",8,IF(H22="栃木県",9,IF(H22="群馬県",10,IF(H22="埼玉県",11,IF(H22="千葉県",12,IF(H22="東京都",13,IF(H22="神奈川県",14,IF(H22="新潟県",15,IF(H22="富山県",16,IF(H22="石川県",17,IF(H22="福井県",18,IF(H22="山梨県",19,IF(H22="長野県",20,IF(H22="岐阜県",21,IF(H22="静岡県",22,IF(H22="愛知県",23,IF(H22="三重県",24,IF(H22="滋賀県",25,IF(H22="京都府",26,IF(H22="大阪府",27,IF(H22="兵庫県",28,IF(H22="奈良県",29,IF(H22="和歌山県",30,IF(H22="鳥取県",31,IF(H22="島根県",32,IF(H22="岡山県",33,IF(H22="広島県",34,IF(H22="山口県",35,IF(H22="徳島県",36,IF(H22="香川県",37,IF(H22="愛媛県",38,IF(H22="高知県",39,IF(H22="福岡県",40,IF(H22="佐賀県",41,IF(H22="長崎県",42,IF(H22="熊本県",43,IF(H22="大分県",44,IF(H22="宮崎県",45,IF(H22="鹿児島県",46,IF(H22="沖縄県",47,"")))))))))))))))))))))))))))))))))))))))))))))))</f>
        <v>35</v>
      </c>
      <c r="J22" s="7">
        <v>151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38</v>
      </c>
      <c r="BD22" s="7" t="s">
        <v>177</v>
      </c>
      <c r="BE22" s="7" t="s">
        <v>167</v>
      </c>
      <c r="BF22" s="7"/>
      <c r="BG22" s="7" t="s">
        <v>14</v>
      </c>
      <c r="BH22" s="7"/>
      <c r="BI22" s="7"/>
      <c r="BJ22" s="7" t="s">
        <v>29</v>
      </c>
      <c r="BK22" s="7"/>
      <c r="BL22" s="7"/>
      <c r="BM22" s="7" t="s">
        <v>168</v>
      </c>
      <c r="BN22" s="7" t="s">
        <v>49</v>
      </c>
      <c r="BO22" s="7" t="s">
        <v>29</v>
      </c>
      <c r="BP22" s="7"/>
      <c r="BQ22" s="7"/>
      <c r="BR22" s="7" t="s">
        <v>103</v>
      </c>
      <c r="BS22" s="7" t="s">
        <v>103</v>
      </c>
      <c r="BT22" s="7"/>
      <c r="BU22" s="7"/>
      <c r="BV22" s="7" t="s">
        <v>169</v>
      </c>
      <c r="BW22" s="7" t="s">
        <v>14</v>
      </c>
      <c r="BX22" s="7"/>
      <c r="BY22" s="7" t="s">
        <v>103</v>
      </c>
      <c r="BZ22" s="7"/>
      <c r="CA22" s="7" t="s">
        <v>103</v>
      </c>
      <c r="CB22" s="7"/>
      <c r="CC22" s="7" t="s">
        <v>103</v>
      </c>
      <c r="CD22" s="7" t="s">
        <v>170</v>
      </c>
      <c r="CE22" s="7" t="s">
        <v>29</v>
      </c>
      <c r="CF22" s="7" t="s">
        <v>14</v>
      </c>
      <c r="CG22" s="7"/>
      <c r="CH22" s="7"/>
      <c r="CI22" s="7"/>
      <c r="CJ22" s="7"/>
    </row>
    <row r="23" spans="1:88" x14ac:dyDescent="0.55000000000000004">
      <c r="A23" s="7" t="s">
        <v>108</v>
      </c>
      <c r="B23" s="7" t="s">
        <v>145</v>
      </c>
      <c r="C23" s="8">
        <v>44931</v>
      </c>
      <c r="D23" s="7"/>
      <c r="E23" s="7" t="s">
        <v>41</v>
      </c>
      <c r="F23" s="8">
        <v>37669</v>
      </c>
      <c r="G23" s="7" t="str">
        <f>TEXT(F23, "yyyymmdd")</f>
        <v>20030217</v>
      </c>
      <c r="H23" s="7" t="s">
        <v>37</v>
      </c>
      <c r="I23" s="7">
        <f>IF(H23="北海道",1,IF(H23="青森県",2,IF(H23="岩手県",3,IF(H23="宮城県",4,IF(H23="秋田県",5,IF(H23="山形県",6,IF(H23="福島県",7,IF(H23="茨城県",8,IF(H23="栃木県",9,IF(H23="群馬県",10,IF(H23="埼玉県",11,IF(H23="千葉県",12,IF(H23="東京都",13,IF(H23="神奈川県",14,IF(H23="新潟県",15,IF(H23="富山県",16,IF(H23="石川県",17,IF(H23="福井県",18,IF(H23="山梨県",19,IF(H23="長野県",20,IF(H23="岐阜県",21,IF(H23="静岡県",22,IF(H23="愛知県",23,IF(H23="三重県",24,IF(H23="滋賀県",25,IF(H23="京都府",26,IF(H23="大阪府",27,IF(H23="兵庫県",28,IF(H23="奈良県",29,IF(H23="和歌山県",30,IF(H23="鳥取県",31,IF(H23="島根県",32,IF(H23="岡山県",33,IF(H23="広島県",34,IF(H23="山口県",35,IF(H23="徳島県",36,IF(H23="香川県",37,IF(H23="愛媛県",38,IF(H23="高知県",39,IF(H23="福岡県",40,IF(H23="佐賀県",41,IF(H23="長崎県",42,IF(H23="熊本県",43,IF(H23="大分県",44,IF(H23="宮崎県",45,IF(H23="鹿児島県",46,IF(H23="沖縄県",47,"")))))))))))))))))))))))))))))))))))))))))))))))</f>
        <v>40</v>
      </c>
      <c r="J23" s="7">
        <v>162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14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38</v>
      </c>
      <c r="BK23" s="7"/>
      <c r="BL23" s="7"/>
      <c r="BM23" s="7" t="s">
        <v>168</v>
      </c>
      <c r="BN23" s="7" t="s">
        <v>29</v>
      </c>
      <c r="BO23" s="7" t="s">
        <v>29</v>
      </c>
      <c r="BP23" s="7"/>
      <c r="BQ23" s="7"/>
      <c r="BR23" s="7"/>
      <c r="BS23" s="7" t="s">
        <v>103</v>
      </c>
      <c r="BT23" s="7"/>
      <c r="BU23" s="7"/>
      <c r="BV23" s="7" t="s">
        <v>169</v>
      </c>
      <c r="BW23" s="7" t="s">
        <v>29</v>
      </c>
      <c r="BX23" s="7"/>
      <c r="BY23" s="7" t="s">
        <v>103</v>
      </c>
      <c r="BZ23" s="7"/>
      <c r="CA23" s="7"/>
      <c r="CB23" s="7" t="s">
        <v>103</v>
      </c>
      <c r="CC23" s="7" t="s">
        <v>103</v>
      </c>
      <c r="CD23" s="7" t="s">
        <v>170</v>
      </c>
      <c r="CE23" s="7" t="s">
        <v>29</v>
      </c>
      <c r="CF23" s="7" t="s">
        <v>29</v>
      </c>
      <c r="CG23" s="7"/>
      <c r="CH23" s="7"/>
      <c r="CI23" s="7"/>
      <c r="CJ23" s="7"/>
    </row>
    <row r="24" spans="1:88" x14ac:dyDescent="0.55000000000000004">
      <c r="A24" s="7" t="s">
        <v>109</v>
      </c>
      <c r="B24" s="7" t="s">
        <v>146</v>
      </c>
      <c r="C24" s="8">
        <v>44931</v>
      </c>
      <c r="D24" s="7"/>
      <c r="E24" s="7" t="s">
        <v>41</v>
      </c>
      <c r="F24" s="8">
        <v>39029</v>
      </c>
      <c r="G24" s="7" t="str">
        <f>TEXT(F24, "yyyymmdd")</f>
        <v>20061108</v>
      </c>
      <c r="H24" s="7" t="s">
        <v>37</v>
      </c>
      <c r="I24" s="7">
        <f>IF(H24="北海道",1,IF(H24="青森県",2,IF(H24="岩手県",3,IF(H24="宮城県",4,IF(H24="秋田県",5,IF(H24="山形県",6,IF(H24="福島県",7,IF(H24="茨城県",8,IF(H24="栃木県",9,IF(H24="群馬県",10,IF(H24="埼玉県",11,IF(H24="千葉県",12,IF(H24="東京都",13,IF(H24="神奈川県",14,IF(H24="新潟県",15,IF(H24="富山県",16,IF(H24="石川県",17,IF(H24="福井県",18,IF(H24="山梨県",19,IF(H24="長野県",20,IF(H24="岐阜県",21,IF(H24="静岡県",22,IF(H24="愛知県",23,IF(H24="三重県",24,IF(H24="滋賀県",25,IF(H24="京都府",26,IF(H24="大阪府",27,IF(H24="兵庫県",28,IF(H24="奈良県",29,IF(H24="和歌山県",30,IF(H24="鳥取県",31,IF(H24="島根県",32,IF(H24="岡山県",33,IF(H24="広島県",34,IF(H24="山口県",35,IF(H24="徳島県",36,IF(H24="香川県",37,IF(H24="愛媛県",38,IF(H24="高知県",39,IF(H24="福岡県",40,IF(H24="佐賀県",41,IF(H24="長崎県",42,IF(H24="熊本県",43,IF(H24="大分県",44,IF(H24="宮崎県",45,IF(H24="鹿児島県",46,IF(H24="沖縄県",47,"")))))))))))))))))))))))))))))))))))))))))))))))</f>
        <v>40</v>
      </c>
      <c r="J24" s="7">
        <v>166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49</v>
      </c>
      <c r="BD24" s="7" t="s">
        <v>177</v>
      </c>
      <c r="BE24" s="7" t="s">
        <v>167</v>
      </c>
      <c r="BF24" s="7"/>
      <c r="BG24" s="7" t="s">
        <v>29</v>
      </c>
      <c r="BH24" s="7"/>
      <c r="BI24" s="7"/>
      <c r="BJ24" s="7" t="s">
        <v>49</v>
      </c>
      <c r="BK24" s="7"/>
      <c r="BL24" s="7"/>
      <c r="BM24" s="7" t="s">
        <v>168</v>
      </c>
      <c r="BN24" s="7"/>
      <c r="BO24" s="7" t="s">
        <v>14</v>
      </c>
      <c r="BP24" s="7" t="s">
        <v>49</v>
      </c>
      <c r="BQ24" s="7"/>
      <c r="BR24" s="7" t="s">
        <v>38</v>
      </c>
      <c r="BS24" s="7"/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/>
      <c r="CC24" s="7" t="s">
        <v>103</v>
      </c>
      <c r="CD24" s="7" t="s">
        <v>170</v>
      </c>
      <c r="CE24" s="7" t="s">
        <v>14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110</v>
      </c>
      <c r="B25" s="7" t="s">
        <v>147</v>
      </c>
      <c r="C25" s="8">
        <v>44931</v>
      </c>
      <c r="D25" s="7"/>
      <c r="E25" s="7" t="s">
        <v>41</v>
      </c>
      <c r="F25" s="8">
        <v>38846</v>
      </c>
      <c r="G25" s="7" t="str">
        <f>TEXT(F25, "yyyymmdd")</f>
        <v>20060509</v>
      </c>
      <c r="H25" s="7" t="s">
        <v>47</v>
      </c>
      <c r="I25" s="7">
        <f>IF(H25="北海道",1,IF(H25="青森県",2,IF(H25="岩手県",3,IF(H25="宮城県",4,IF(H25="秋田県",5,IF(H25="山形県",6,IF(H25="福島県",7,IF(H25="茨城県",8,IF(H25="栃木県",9,IF(H25="群馬県",10,IF(H25="埼玉県",11,IF(H25="千葉県",12,IF(H25="東京都",13,IF(H25="神奈川県",14,IF(H25="新潟県",15,IF(H25="富山県",16,IF(H25="石川県",17,IF(H25="福井県",18,IF(H25="山梨県",19,IF(H25="長野県",20,IF(H25="岐阜県",21,IF(H25="静岡県",22,IF(H25="愛知県",23,IF(H25="三重県",24,IF(H25="滋賀県",25,IF(H25="京都府",26,IF(H25="大阪府",27,IF(H25="兵庫県",28,IF(H25="奈良県",29,IF(H25="和歌山県",30,IF(H25="鳥取県",31,IF(H25="島根県",32,IF(H25="岡山県",33,IF(H25="広島県",34,IF(H25="山口県",35,IF(H25="徳島県",36,IF(H25="香川県",37,IF(H25="愛媛県",38,IF(H25="高知県",39,IF(H25="福岡県",40,IF(H25="佐賀県",41,IF(H25="長崎県",42,IF(H25="熊本県",43,IF(H25="大分県",44,IF(H25="宮崎県",45,IF(H25="鹿児島県",46,IF(H25="沖縄県",47,"")))))))))))))))))))))))))))))))))))))))))))))))</f>
        <v>34</v>
      </c>
      <c r="J25" s="7">
        <v>163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14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49</v>
      </c>
      <c r="BP25" s="7" t="s">
        <v>29</v>
      </c>
      <c r="BQ25" s="7"/>
      <c r="BR25" s="7"/>
      <c r="BS25" s="7"/>
      <c r="BT25" s="7"/>
      <c r="BU25" s="7"/>
      <c r="BV25" s="7" t="s">
        <v>169</v>
      </c>
      <c r="BW25" s="7"/>
      <c r="BX25" s="7" t="s">
        <v>103</v>
      </c>
      <c r="BY25" s="7" t="s">
        <v>103</v>
      </c>
      <c r="BZ25" s="7" t="s">
        <v>103</v>
      </c>
      <c r="CA25" s="7"/>
      <c r="CB25" s="7"/>
      <c r="CC25" s="7"/>
      <c r="CD25" s="7" t="s">
        <v>170</v>
      </c>
      <c r="CE25" s="7"/>
      <c r="CF25" s="7" t="s">
        <v>38</v>
      </c>
      <c r="CG25" s="7" t="s">
        <v>14</v>
      </c>
      <c r="CH25" s="7"/>
      <c r="CI25" s="7"/>
      <c r="CJ25" s="7"/>
    </row>
    <row r="26" spans="1:88" x14ac:dyDescent="0.55000000000000004">
      <c r="A26" s="7" t="s">
        <v>111</v>
      </c>
      <c r="B26" s="7" t="s">
        <v>148</v>
      </c>
      <c r="C26" s="8">
        <v>44931</v>
      </c>
      <c r="D26" s="7"/>
      <c r="E26" s="7" t="s">
        <v>41</v>
      </c>
      <c r="F26" s="8">
        <v>38217</v>
      </c>
      <c r="G26" s="7" t="str">
        <f>TEXT(F26, "yyyymmdd")</f>
        <v>20040818</v>
      </c>
      <c r="H26" s="7" t="s">
        <v>16</v>
      </c>
      <c r="I26" s="7">
        <f>IF(H26="北海道",1,IF(H26="青森県",2,IF(H26="岩手県",3,IF(H26="宮城県",4,IF(H26="秋田県",5,IF(H26="山形県",6,IF(H26="福島県",7,IF(H26="茨城県",8,IF(H26="栃木県",9,IF(H26="群馬県",10,IF(H26="埼玉県",11,IF(H26="千葉県",12,IF(H26="東京都",13,IF(H26="神奈川県",14,IF(H26="新潟県",15,IF(H26="富山県",16,IF(H26="石川県",17,IF(H26="福井県",18,IF(H26="山梨県",19,IF(H26="長野県",20,IF(H26="岐阜県",21,IF(H26="静岡県",22,IF(H26="愛知県",23,IF(H26="三重県",24,IF(H26="滋賀県",25,IF(H26="京都府",26,IF(H26="大阪府",27,IF(H26="兵庫県",28,IF(H26="奈良県",29,IF(H26="和歌山県",30,IF(H26="鳥取県",31,IF(H26="島根県",32,IF(H26="岡山県",33,IF(H26="広島県",34,IF(H26="山口県",35,IF(H26="徳島県",36,IF(H26="香川県",37,IF(H26="愛媛県",38,IF(H26="高知県",39,IF(H26="福岡県",40,IF(H26="佐賀県",41,IF(H26="長崎県",42,IF(H26="熊本県",43,IF(H26="大分県",44,IF(H26="宮崎県",45,IF(H26="鹿児島県",46,IF(H26="沖縄県",47,"")))))))))))))))))))))))))))))))))))))))))))))))</f>
        <v>13</v>
      </c>
      <c r="J26" s="7">
        <v>156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49</v>
      </c>
      <c r="BH26" s="7"/>
      <c r="BI26" s="7"/>
      <c r="BJ26" s="7" t="s">
        <v>29</v>
      </c>
      <c r="BK26" s="7"/>
      <c r="BL26" s="7"/>
      <c r="BM26" s="7" t="s">
        <v>168</v>
      </c>
      <c r="BN26" s="7" t="s">
        <v>29</v>
      </c>
      <c r="BO26" s="7" t="s">
        <v>29</v>
      </c>
      <c r="BP26" s="7"/>
      <c r="BQ26" s="7"/>
      <c r="BR26" s="7" t="s">
        <v>103</v>
      </c>
      <c r="BS26" s="7" t="s">
        <v>103</v>
      </c>
      <c r="BT26" s="7"/>
      <c r="BU26" s="7"/>
      <c r="BV26" s="7" t="s">
        <v>169</v>
      </c>
      <c r="BW26" s="7" t="s">
        <v>14</v>
      </c>
      <c r="BX26" s="7"/>
      <c r="BY26" s="7" t="s">
        <v>103</v>
      </c>
      <c r="BZ26" s="7"/>
      <c r="CA26" s="7"/>
      <c r="CB26" s="7" t="s">
        <v>103</v>
      </c>
      <c r="CC26" s="7" t="s">
        <v>103</v>
      </c>
      <c r="CD26" s="7" t="s">
        <v>170</v>
      </c>
      <c r="CE26" s="7" t="s">
        <v>29</v>
      </c>
      <c r="CF26" s="7" t="s">
        <v>49</v>
      </c>
      <c r="CG26" s="7"/>
      <c r="CH26" s="7"/>
      <c r="CI26" s="7"/>
      <c r="CJ26" s="7"/>
    </row>
    <row r="27" spans="1:88" x14ac:dyDescent="0.55000000000000004">
      <c r="A27" s="7" t="s">
        <v>112</v>
      </c>
      <c r="B27" s="7" t="s">
        <v>149</v>
      </c>
      <c r="C27" s="8">
        <v>44931</v>
      </c>
      <c r="D27" s="7"/>
      <c r="E27" s="7" t="s">
        <v>41</v>
      </c>
      <c r="F27" s="8">
        <v>38398</v>
      </c>
      <c r="G27" s="7" t="str">
        <f>TEXT(F27, "yyyymmdd")</f>
        <v>20050215</v>
      </c>
      <c r="H27" s="7" t="s">
        <v>16</v>
      </c>
      <c r="I27" s="7">
        <f>IF(H27="北海道",1,IF(H27="青森県",2,IF(H27="岩手県",3,IF(H27="宮城県",4,IF(H27="秋田県",5,IF(H27="山形県",6,IF(H27="福島県",7,IF(H27="茨城県",8,IF(H27="栃木県",9,IF(H27="群馬県",10,IF(H27="埼玉県",11,IF(H27="千葉県",12,IF(H27="東京都",13,IF(H27="神奈川県",14,IF(H27="新潟県",15,IF(H27="富山県",16,IF(H27="石川県",17,IF(H27="福井県",18,IF(H27="山梨県",19,IF(H27="長野県",20,IF(H27="岐阜県",21,IF(H27="静岡県",22,IF(H27="愛知県",23,IF(H27="三重県",24,IF(H27="滋賀県",25,IF(H27="京都府",26,IF(H27="大阪府",27,IF(H27="兵庫県",28,IF(H27="奈良県",29,IF(H27="和歌山県",30,IF(H27="鳥取県",31,IF(H27="島根県",32,IF(H27="岡山県",33,IF(H27="広島県",34,IF(H27="山口県",35,IF(H27="徳島県",36,IF(H27="香川県",37,IF(H27="愛媛県",38,IF(H27="高知県",39,IF(H27="福岡県",40,IF(H27="佐賀県",41,IF(H27="長崎県",42,IF(H27="熊本県",43,IF(H27="大分県",44,IF(H27="宮崎県",45,IF(H27="鹿児島県",46,IF(H27="沖縄県",47,"")))))))))))))))))))))))))))))))))))))))))))))))</f>
        <v>13</v>
      </c>
      <c r="J27" s="7">
        <v>168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49</v>
      </c>
      <c r="BD27" s="7" t="s">
        <v>177</v>
      </c>
      <c r="BE27" s="7" t="s">
        <v>167</v>
      </c>
      <c r="BF27" s="7"/>
      <c r="BG27" s="7" t="s">
        <v>14</v>
      </c>
      <c r="BH27" s="7"/>
      <c r="BI27" s="7"/>
      <c r="BJ27" s="7" t="s">
        <v>14</v>
      </c>
      <c r="BK27" s="7"/>
      <c r="BL27" s="7"/>
      <c r="BM27" s="7" t="s">
        <v>168</v>
      </c>
      <c r="BN27" s="7"/>
      <c r="BO27" s="7" t="s">
        <v>14</v>
      </c>
      <c r="BP27" s="7" t="s">
        <v>49</v>
      </c>
      <c r="BQ27" s="7"/>
      <c r="BR27" s="7" t="s">
        <v>103</v>
      </c>
      <c r="BS27" s="7"/>
      <c r="BT27" s="7"/>
      <c r="BU27" s="7"/>
      <c r="BV27" s="7" t="s">
        <v>169</v>
      </c>
      <c r="BW27" s="7"/>
      <c r="BX27" s="7" t="s">
        <v>103</v>
      </c>
      <c r="BY27" s="7" t="s">
        <v>38</v>
      </c>
      <c r="BZ27" s="7"/>
      <c r="CA27" s="7"/>
      <c r="CB27" s="7"/>
      <c r="CC27" s="7"/>
      <c r="CD27" s="7" t="s">
        <v>170</v>
      </c>
      <c r="CE27" s="7" t="s">
        <v>29</v>
      </c>
      <c r="CF27" s="7" t="s">
        <v>29</v>
      </c>
      <c r="CG27" s="7"/>
      <c r="CH27" s="7"/>
      <c r="CI27" s="7"/>
      <c r="CJ27" s="7"/>
    </row>
    <row r="28" spans="1:88" x14ac:dyDescent="0.55000000000000004">
      <c r="A28" s="7" t="s">
        <v>113</v>
      </c>
      <c r="B28" s="7" t="s">
        <v>150</v>
      </c>
      <c r="C28" s="8">
        <v>44931</v>
      </c>
      <c r="D28" s="7"/>
      <c r="E28" s="7" t="s">
        <v>41</v>
      </c>
      <c r="F28" s="8">
        <v>38374</v>
      </c>
      <c r="G28" s="7" t="str">
        <f>TEXT(F28, "yyyymmdd")</f>
        <v>20050122</v>
      </c>
      <c r="H28" s="7" t="s">
        <v>48</v>
      </c>
      <c r="I28" s="7">
        <f>IF(H28="北海道",1,IF(H28="青森県",2,IF(H28="岩手県",3,IF(H28="宮城県",4,IF(H28="秋田県",5,IF(H28="山形県",6,IF(H28="福島県",7,IF(H28="茨城県",8,IF(H28="栃木県",9,IF(H28="群馬県",10,IF(H28="埼玉県",11,IF(H28="千葉県",12,IF(H28="東京都",13,IF(H28="神奈川県",14,IF(H28="新潟県",15,IF(H28="富山県",16,IF(H28="石川県",17,IF(H28="福井県",18,IF(H28="山梨県",19,IF(H28="長野県",20,IF(H28="岐阜県",21,IF(H28="静岡県",22,IF(H28="愛知県",23,IF(H28="三重県",24,IF(H28="滋賀県",25,IF(H28="京都府",26,IF(H28="大阪府",27,IF(H28="兵庫県",28,IF(H28="奈良県",29,IF(H28="和歌山県",30,IF(H28="鳥取県",31,IF(H28="島根県",32,IF(H28="岡山県",33,IF(H28="広島県",34,IF(H28="山口県",35,IF(H28="徳島県",36,IF(H28="香川県",37,IF(H28="愛媛県",38,IF(H28="高知県",39,IF(H28="福岡県",40,IF(H28="佐賀県",41,IF(H28="長崎県",42,IF(H28="熊本県",43,IF(H28="大分県",44,IF(H28="宮崎県",45,IF(H28="鹿児島県",46,IF(H28="沖縄県",47,"")))))))))))))))))))))))))))))))))))))))))))))))</f>
        <v>26</v>
      </c>
      <c r="J28" s="7">
        <v>152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14</v>
      </c>
      <c r="BD28" s="7" t="s">
        <v>177</v>
      </c>
      <c r="BE28" s="7" t="s">
        <v>167</v>
      </c>
      <c r="BF28" s="7"/>
      <c r="BG28" s="7" t="s">
        <v>38</v>
      </c>
      <c r="BH28" s="7"/>
      <c r="BI28" s="7"/>
      <c r="BJ28" s="7" t="s">
        <v>29</v>
      </c>
      <c r="BK28" s="7"/>
      <c r="BL28" s="7"/>
      <c r="BM28" s="7" t="s">
        <v>168</v>
      </c>
      <c r="BN28" s="7" t="s">
        <v>49</v>
      </c>
      <c r="BO28" s="7" t="s">
        <v>29</v>
      </c>
      <c r="BP28" s="7"/>
      <c r="BQ28" s="7"/>
      <c r="BR28" s="7" t="s">
        <v>103</v>
      </c>
      <c r="BS28" s="7" t="s">
        <v>103</v>
      </c>
      <c r="BT28" s="7"/>
      <c r="BU28" s="7"/>
      <c r="BV28" s="7" t="s">
        <v>169</v>
      </c>
      <c r="BW28" s="7" t="s">
        <v>14</v>
      </c>
      <c r="BX28" s="7"/>
      <c r="BY28" s="7" t="s">
        <v>103</v>
      </c>
      <c r="BZ28" s="7"/>
      <c r="CA28" s="7" t="s">
        <v>103</v>
      </c>
      <c r="CB28" s="7"/>
      <c r="CC28" s="7" t="s">
        <v>103</v>
      </c>
      <c r="CD28" s="7" t="s">
        <v>170</v>
      </c>
      <c r="CE28" s="7" t="s">
        <v>38</v>
      </c>
      <c r="CF28" s="7" t="s">
        <v>49</v>
      </c>
      <c r="CG28" s="7"/>
      <c r="CH28" s="7"/>
      <c r="CI28" s="7"/>
      <c r="CJ28" s="7"/>
    </row>
    <row r="29" spans="1:88" x14ac:dyDescent="0.55000000000000004">
      <c r="A29" s="29" t="s">
        <v>114</v>
      </c>
      <c r="B29" s="26" t="s">
        <v>151</v>
      </c>
      <c r="C29" s="21">
        <v>42237</v>
      </c>
      <c r="D29" s="21">
        <v>45323</v>
      </c>
      <c r="E29" s="20" t="s">
        <v>10</v>
      </c>
      <c r="F29" s="21">
        <v>36456</v>
      </c>
      <c r="G29" s="20" t="str">
        <f t="shared" ref="G29:G39" si="2">TEXT(F29, "yyyymmdd")</f>
        <v>19991023</v>
      </c>
      <c r="H29" s="20" t="s">
        <v>44</v>
      </c>
      <c r="I29" s="22">
        <f t="shared" ref="I29:I39" si="3">IF(H29="北海道",1,IF(H29="青森県",2,IF(H29="岩手県",3,IF(H29="宮城県",4,IF(H29="秋田県",5,IF(H29="山形県",6,IF(H29="福島県",7,IF(H29="茨城県",8,IF(H29="栃木県",9,IF(H29="群馬県",10,IF(H29="埼玉県",11,IF(H29="千葉県",12,IF(H29="東京都",13,IF(H29="神奈川県",14,IF(H29="新潟県",15,IF(H29="富山県",16,IF(H29="石川県",17,IF(H29="福井県",18,IF(H29="山梨県",19,IF(H29="長野県",20,IF(H29="岐阜県",21,IF(H29="静岡県",22,IF(H29="愛知県",23,IF(H29="三重県",24,IF(H29="滋賀県",25,IF(H29="京都府",26,IF(H29="大阪府",27,IF(H29="兵庫県",28,IF(H29="奈良県",29,IF(H29="和歌山県",30,IF(H29="鳥取県",31,IF(H29="島根県",32,IF(H29="岡山県",33,IF(H29="広島県",34,IF(H29="山口県",35,IF(H29="徳島県",36,IF(H29="香川県",37,IF(H29="愛媛県",38,IF(H29="高知県",39,IF(H29="福岡県",40,IF(H29="佐賀県",41,IF(H29="長崎県",42,IF(H29="熊本県",43,IF(H29="大分県",44,IF(H29="宮崎県",45,IF(H29="鹿児島県",46,IF(H29="沖縄県",47,"")))))))))))))))))))))))))))))))))))))))))))))))</f>
        <v>11</v>
      </c>
      <c r="J29" s="20">
        <v>161</v>
      </c>
      <c r="K29" s="23" t="s">
        <v>161</v>
      </c>
      <c r="L29" s="20" t="s">
        <v>49</v>
      </c>
      <c r="M29" s="20" t="s">
        <v>49</v>
      </c>
      <c r="N29" s="20" t="s">
        <v>49</v>
      </c>
      <c r="O29" s="20" t="s">
        <v>49</v>
      </c>
      <c r="P29" s="20" t="s">
        <v>49</v>
      </c>
      <c r="Q29" s="20" t="s">
        <v>49</v>
      </c>
      <c r="R29" s="20" t="s">
        <v>49</v>
      </c>
      <c r="S29" s="23" t="s">
        <v>162</v>
      </c>
      <c r="T29" s="20" t="s">
        <v>49</v>
      </c>
      <c r="U29" s="20" t="s">
        <v>49</v>
      </c>
      <c r="V29" s="20" t="s">
        <v>49</v>
      </c>
      <c r="W29" s="20" t="s">
        <v>49</v>
      </c>
      <c r="X29" s="20" t="s">
        <v>49</v>
      </c>
      <c r="Y29" s="20" t="s">
        <v>49</v>
      </c>
      <c r="Z29" s="20" t="s">
        <v>103</v>
      </c>
      <c r="AA29" s="23" t="s">
        <v>163</v>
      </c>
      <c r="AB29" s="20" t="s">
        <v>14</v>
      </c>
      <c r="AC29" s="20" t="s">
        <v>14</v>
      </c>
      <c r="AD29" s="20" t="s">
        <v>14</v>
      </c>
      <c r="AF29" s="20" t="s">
        <v>103</v>
      </c>
      <c r="AH29" s="20" t="s">
        <v>14</v>
      </c>
      <c r="AI29" s="23" t="s">
        <v>164</v>
      </c>
      <c r="AJ29" s="20" t="s">
        <v>14</v>
      </c>
      <c r="AK29" s="20" t="s">
        <v>49</v>
      </c>
      <c r="AM29" s="20" t="s">
        <v>14</v>
      </c>
      <c r="AO29" s="20" t="s">
        <v>14</v>
      </c>
      <c r="AP29" s="20" t="s">
        <v>14</v>
      </c>
      <c r="AQ29" s="23" t="s">
        <v>165</v>
      </c>
      <c r="AR29" s="20" t="s">
        <v>14</v>
      </c>
      <c r="AS29" s="20" t="s">
        <v>14</v>
      </c>
      <c r="AU29" s="20" t="s">
        <v>49</v>
      </c>
      <c r="AW29" s="23" t="s">
        <v>166</v>
      </c>
      <c r="AX29" s="20" t="s">
        <v>49</v>
      </c>
      <c r="AY29" s="20" t="s">
        <v>49</v>
      </c>
      <c r="BA29" s="20" t="s">
        <v>103</v>
      </c>
      <c r="BB29" s="20" t="s">
        <v>103</v>
      </c>
      <c r="BD29" s="20" t="s">
        <v>103</v>
      </c>
      <c r="BE29" s="23" t="s">
        <v>167</v>
      </c>
      <c r="BF29" s="20" t="s">
        <v>14</v>
      </c>
      <c r="BH29" s="20" t="s">
        <v>103</v>
      </c>
      <c r="BK29" s="20" t="s">
        <v>14</v>
      </c>
      <c r="BL29" s="20" t="s">
        <v>14</v>
      </c>
      <c r="BM29" s="23" t="s">
        <v>168</v>
      </c>
      <c r="BN29" s="20" t="s">
        <v>14</v>
      </c>
      <c r="BQ29" s="20" t="s">
        <v>103</v>
      </c>
      <c r="BS29" s="20" t="s">
        <v>103</v>
      </c>
      <c r="BT29" s="20" t="s">
        <v>38</v>
      </c>
      <c r="BU29" s="20" t="s">
        <v>103</v>
      </c>
      <c r="BV29" s="23" t="s">
        <v>169</v>
      </c>
      <c r="BW29" s="20" t="s">
        <v>200</v>
      </c>
      <c r="BX29" s="20" t="s">
        <v>200</v>
      </c>
      <c r="BY29" s="20" t="s">
        <v>200</v>
      </c>
      <c r="BZ29" s="20" t="s">
        <v>200</v>
      </c>
      <c r="CA29" s="20" t="s">
        <v>200</v>
      </c>
      <c r="CB29" s="20" t="s">
        <v>200</v>
      </c>
      <c r="CC29" s="20" t="s">
        <v>200</v>
      </c>
      <c r="CD29" s="19" t="s">
        <v>170</v>
      </c>
    </row>
    <row r="30" spans="1:88" x14ac:dyDescent="0.55000000000000004">
      <c r="A30" s="29" t="s">
        <v>9</v>
      </c>
      <c r="B30" s="26" t="s">
        <v>124</v>
      </c>
      <c r="C30" s="21">
        <v>42237</v>
      </c>
      <c r="D30" s="21">
        <v>45292</v>
      </c>
      <c r="E30" s="20" t="s">
        <v>10</v>
      </c>
      <c r="F30" s="21">
        <v>35434</v>
      </c>
      <c r="G30" s="20" t="str">
        <f t="shared" si="2"/>
        <v>19970104</v>
      </c>
      <c r="H30" s="20" t="s">
        <v>11</v>
      </c>
      <c r="I30" s="22">
        <f t="shared" si="3"/>
        <v>12</v>
      </c>
      <c r="J30" s="20">
        <v>153.5</v>
      </c>
      <c r="K30" s="23" t="s">
        <v>161</v>
      </c>
      <c r="Q30" s="20" t="s">
        <v>29</v>
      </c>
      <c r="R30" s="20" t="s">
        <v>29</v>
      </c>
      <c r="S30" s="23" t="s">
        <v>162</v>
      </c>
      <c r="V30" s="20" t="s">
        <v>29</v>
      </c>
      <c r="W30" s="20" t="s">
        <v>29</v>
      </c>
      <c r="Z30" s="20" t="s">
        <v>103</v>
      </c>
      <c r="AA30" s="23" t="s">
        <v>163</v>
      </c>
      <c r="AE30" s="20" t="s">
        <v>29</v>
      </c>
      <c r="AH30" s="20" t="s">
        <v>29</v>
      </c>
      <c r="AI30" s="23" t="s">
        <v>164</v>
      </c>
      <c r="AJ30" s="20" t="s">
        <v>29</v>
      </c>
      <c r="AK30" s="20" t="s">
        <v>29</v>
      </c>
      <c r="AL30" s="20" t="s">
        <v>14</v>
      </c>
      <c r="AP30" s="20" t="s">
        <v>29</v>
      </c>
      <c r="AQ30" s="23" t="s">
        <v>165</v>
      </c>
      <c r="AR30" s="20" t="s">
        <v>29</v>
      </c>
      <c r="AU30" s="20" t="s">
        <v>14</v>
      </c>
      <c r="AW30" s="23" t="s">
        <v>166</v>
      </c>
      <c r="AY30" s="20" t="s">
        <v>29</v>
      </c>
      <c r="AZ30" s="20" t="s">
        <v>103</v>
      </c>
      <c r="BB30" s="20" t="s">
        <v>103</v>
      </c>
      <c r="BD30" s="20" t="s">
        <v>103</v>
      </c>
      <c r="BE30" s="23" t="s">
        <v>167</v>
      </c>
      <c r="BF30" s="20" t="s">
        <v>29</v>
      </c>
      <c r="BH30" s="20" t="s">
        <v>103</v>
      </c>
      <c r="BK30" s="20" t="s">
        <v>29</v>
      </c>
      <c r="BL30" s="20" t="s">
        <v>29</v>
      </c>
      <c r="BM30" s="23" t="s">
        <v>168</v>
      </c>
      <c r="BP30" s="20" t="s">
        <v>14</v>
      </c>
      <c r="BT30" s="20" t="s">
        <v>103</v>
      </c>
      <c r="BV30" s="23" t="s">
        <v>169</v>
      </c>
      <c r="BX30" s="20" t="s">
        <v>103</v>
      </c>
      <c r="CD30" s="19" t="s">
        <v>190</v>
      </c>
      <c r="CG30" s="20" t="s">
        <v>198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2"/>
        <v>19970707</v>
      </c>
      <c r="H31" s="20" t="s">
        <v>16</v>
      </c>
      <c r="I31" s="22">
        <f t="shared" si="3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200</v>
      </c>
      <c r="BV31" s="23" t="s">
        <v>169</v>
      </c>
      <c r="BW31" s="20" t="s">
        <v>200</v>
      </c>
      <c r="BX31" s="20" t="s">
        <v>200</v>
      </c>
      <c r="BY31" s="20" t="s">
        <v>200</v>
      </c>
      <c r="BZ31" s="20" t="s">
        <v>200</v>
      </c>
      <c r="CA31" s="20" t="s">
        <v>200</v>
      </c>
      <c r="CB31" s="20" t="s">
        <v>200</v>
      </c>
      <c r="CC31" s="20" t="s">
        <v>200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2"/>
        <v>19980629</v>
      </c>
      <c r="H32" s="20" t="s">
        <v>37</v>
      </c>
      <c r="I32" s="22">
        <f t="shared" si="3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200</v>
      </c>
      <c r="BG32" s="20" t="s">
        <v>200</v>
      </c>
      <c r="BH32" s="20" t="s">
        <v>200</v>
      </c>
      <c r="BI32" s="20" t="s">
        <v>200</v>
      </c>
      <c r="BJ32" s="20" t="s">
        <v>200</v>
      </c>
      <c r="BK32" s="20" t="s">
        <v>200</v>
      </c>
      <c r="BL32" s="20" t="s">
        <v>200</v>
      </c>
      <c r="BM32" s="23" t="s">
        <v>168</v>
      </c>
      <c r="BN32" s="20" t="s">
        <v>200</v>
      </c>
      <c r="BO32" s="20" t="s">
        <v>200</v>
      </c>
      <c r="BP32" s="20" t="s">
        <v>200</v>
      </c>
      <c r="BQ32" s="20" t="s">
        <v>200</v>
      </c>
      <c r="BR32" s="20" t="s">
        <v>200</v>
      </c>
      <c r="BS32" s="20" t="s">
        <v>200</v>
      </c>
      <c r="BT32" s="20" t="s">
        <v>200</v>
      </c>
      <c r="BU32" s="20" t="s">
        <v>200</v>
      </c>
      <c r="BV32" s="23" t="s">
        <v>169</v>
      </c>
      <c r="BW32" s="20" t="s">
        <v>200</v>
      </c>
      <c r="BX32" s="20" t="s">
        <v>200</v>
      </c>
      <c r="BY32" s="20" t="s">
        <v>200</v>
      </c>
      <c r="BZ32" s="20" t="s">
        <v>200</v>
      </c>
      <c r="CA32" s="20" t="s">
        <v>200</v>
      </c>
      <c r="CB32" s="20" t="s">
        <v>200</v>
      </c>
      <c r="CC32" s="20" t="s">
        <v>200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2"/>
        <v>19951129</v>
      </c>
      <c r="H33" s="20" t="s">
        <v>16</v>
      </c>
      <c r="I33" s="22">
        <f t="shared" si="3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202</v>
      </c>
      <c r="AK33" s="20" t="s">
        <v>49</v>
      </c>
      <c r="AL33" s="20" t="s">
        <v>202</v>
      </c>
      <c r="AM33" s="20" t="s">
        <v>202</v>
      </c>
      <c r="AN33" s="20" t="s">
        <v>202</v>
      </c>
      <c r="AO33" s="20" t="s">
        <v>202</v>
      </c>
      <c r="AP33" s="20" t="s">
        <v>202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200</v>
      </c>
      <c r="AY33" s="20" t="s">
        <v>200</v>
      </c>
      <c r="AZ33" s="20" t="s">
        <v>200</v>
      </c>
      <c r="BA33" s="20" t="s">
        <v>200</v>
      </c>
      <c r="BB33" s="20" t="s">
        <v>200</v>
      </c>
      <c r="BC33" s="20" t="s">
        <v>200</v>
      </c>
      <c r="BD33" s="20" t="s">
        <v>201</v>
      </c>
      <c r="BE33" s="23" t="s">
        <v>167</v>
      </c>
      <c r="BF33" s="20" t="s">
        <v>200</v>
      </c>
      <c r="BG33" s="20" t="s">
        <v>200</v>
      </c>
      <c r="BH33" s="20" t="s">
        <v>200</v>
      </c>
      <c r="BI33" s="20" t="s">
        <v>200</v>
      </c>
      <c r="BJ33" s="20" t="s">
        <v>200</v>
      </c>
      <c r="BK33" s="20" t="s">
        <v>200</v>
      </c>
      <c r="BL33" s="20" t="s">
        <v>200</v>
      </c>
      <c r="BM33" s="23" t="s">
        <v>168</v>
      </c>
      <c r="BN33" s="20" t="s">
        <v>200</v>
      </c>
      <c r="BO33" s="20" t="s">
        <v>200</v>
      </c>
      <c r="BP33" s="20" t="s">
        <v>200</v>
      </c>
      <c r="BQ33" s="20" t="s">
        <v>200</v>
      </c>
      <c r="BR33" s="20" t="s">
        <v>200</v>
      </c>
      <c r="BS33" s="20" t="s">
        <v>200</v>
      </c>
      <c r="BT33" s="20" t="s">
        <v>200</v>
      </c>
      <c r="BU33" s="20" t="s">
        <v>200</v>
      </c>
      <c r="BV33" s="23" t="s">
        <v>169</v>
      </c>
      <c r="BW33" s="20" t="s">
        <v>200</v>
      </c>
      <c r="BX33" s="20" t="s">
        <v>200</v>
      </c>
      <c r="BY33" s="20" t="s">
        <v>200</v>
      </c>
      <c r="BZ33" s="20" t="s">
        <v>200</v>
      </c>
      <c r="CA33" s="20" t="s">
        <v>200</v>
      </c>
      <c r="CB33" s="20" t="s">
        <v>200</v>
      </c>
      <c r="CC33" s="20" t="s">
        <v>200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2"/>
        <v>19971007</v>
      </c>
      <c r="H34" s="20" t="s">
        <v>20</v>
      </c>
      <c r="I34" s="22">
        <f t="shared" si="3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200</v>
      </c>
      <c r="AY34" s="20" t="s">
        <v>200</v>
      </c>
      <c r="AZ34" s="20" t="s">
        <v>200</v>
      </c>
      <c r="BA34" s="20" t="s">
        <v>200</v>
      </c>
      <c r="BB34" s="20" t="s">
        <v>200</v>
      </c>
      <c r="BC34" s="20" t="s">
        <v>200</v>
      </c>
      <c r="BD34" s="20" t="s">
        <v>199</v>
      </c>
      <c r="BE34" s="23" t="s">
        <v>167</v>
      </c>
      <c r="BF34" s="20" t="s">
        <v>200</v>
      </c>
      <c r="BG34" s="20" t="s">
        <v>200</v>
      </c>
      <c r="BH34" s="20" t="s">
        <v>200</v>
      </c>
      <c r="BI34" s="20" t="s">
        <v>200</v>
      </c>
      <c r="BJ34" s="20" t="s">
        <v>200</v>
      </c>
      <c r="BK34" s="20" t="s">
        <v>200</v>
      </c>
      <c r="BL34" s="20" t="s">
        <v>200</v>
      </c>
      <c r="BM34" s="23" t="s">
        <v>168</v>
      </c>
      <c r="BN34" s="20" t="s">
        <v>200</v>
      </c>
      <c r="BO34" s="20" t="s">
        <v>200</v>
      </c>
      <c r="BP34" s="20" t="s">
        <v>200</v>
      </c>
      <c r="BQ34" s="20" t="s">
        <v>200</v>
      </c>
      <c r="BR34" s="20" t="s">
        <v>200</v>
      </c>
      <c r="BS34" s="20" t="s">
        <v>200</v>
      </c>
      <c r="BT34" s="20" t="s">
        <v>200</v>
      </c>
      <c r="BU34" s="20" t="s">
        <v>200</v>
      </c>
      <c r="BV34" s="23" t="s">
        <v>169</v>
      </c>
      <c r="BW34" s="20" t="s">
        <v>200</v>
      </c>
      <c r="BX34" s="20" t="s">
        <v>200</v>
      </c>
      <c r="BY34" s="20" t="s">
        <v>200</v>
      </c>
      <c r="BZ34" s="20" t="s">
        <v>200</v>
      </c>
      <c r="CA34" s="20" t="s">
        <v>200</v>
      </c>
      <c r="CB34" s="20" t="s">
        <v>200</v>
      </c>
      <c r="CC34" s="20" t="s">
        <v>200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2"/>
        <v>20000507</v>
      </c>
      <c r="H35" s="20" t="s">
        <v>16</v>
      </c>
      <c r="I35" s="22">
        <f t="shared" si="3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200</v>
      </c>
      <c r="AS35" s="20" t="s">
        <v>200</v>
      </c>
      <c r="AT35" s="20" t="s">
        <v>200</v>
      </c>
      <c r="AU35" s="20" t="s">
        <v>200</v>
      </c>
      <c r="AV35" s="20" t="s">
        <v>200</v>
      </c>
      <c r="AW35" s="23" t="s">
        <v>166</v>
      </c>
      <c r="AX35" s="20" t="s">
        <v>200</v>
      </c>
      <c r="AY35" s="20" t="s">
        <v>200</v>
      </c>
      <c r="AZ35" s="20" t="s">
        <v>200</v>
      </c>
      <c r="BA35" s="20" t="s">
        <v>200</v>
      </c>
      <c r="BB35" s="20" t="s">
        <v>200</v>
      </c>
      <c r="BC35" s="20" t="s">
        <v>200</v>
      </c>
      <c r="BD35" s="20" t="s">
        <v>200</v>
      </c>
      <c r="BE35" s="23" t="s">
        <v>167</v>
      </c>
      <c r="BF35" s="20" t="s">
        <v>200</v>
      </c>
      <c r="BG35" s="20" t="s">
        <v>200</v>
      </c>
      <c r="BH35" s="20" t="s">
        <v>200</v>
      </c>
      <c r="BI35" s="20" t="s">
        <v>200</v>
      </c>
      <c r="BJ35" s="20" t="s">
        <v>200</v>
      </c>
      <c r="BK35" s="20" t="s">
        <v>200</v>
      </c>
      <c r="BL35" s="20" t="s">
        <v>200</v>
      </c>
      <c r="BM35" s="23" t="s">
        <v>168</v>
      </c>
      <c r="BN35" s="20" t="s">
        <v>200</v>
      </c>
      <c r="BO35" s="20" t="s">
        <v>200</v>
      </c>
      <c r="BP35" s="20" t="s">
        <v>200</v>
      </c>
      <c r="BQ35" s="20" t="s">
        <v>200</v>
      </c>
      <c r="BR35" s="20" t="s">
        <v>200</v>
      </c>
      <c r="BS35" s="20" t="s">
        <v>200</v>
      </c>
      <c r="BT35" s="20" t="s">
        <v>200</v>
      </c>
      <c r="BU35" s="20" t="s">
        <v>200</v>
      </c>
      <c r="BV35" s="23" t="s">
        <v>169</v>
      </c>
      <c r="BW35" s="20" t="s">
        <v>200</v>
      </c>
      <c r="BX35" s="20" t="s">
        <v>200</v>
      </c>
      <c r="BY35" s="20" t="s">
        <v>200</v>
      </c>
      <c r="BZ35" s="20" t="s">
        <v>200</v>
      </c>
      <c r="CA35" s="20" t="s">
        <v>200</v>
      </c>
      <c r="CB35" s="20" t="s">
        <v>200</v>
      </c>
      <c r="CC35" s="20" t="s">
        <v>200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2"/>
        <v>19980727</v>
      </c>
      <c r="H36" s="20" t="s">
        <v>50</v>
      </c>
      <c r="I36" s="22">
        <f t="shared" si="3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203</v>
      </c>
      <c r="AM36" s="20" t="s">
        <v>203</v>
      </c>
      <c r="AN36" s="20" t="s">
        <v>203</v>
      </c>
      <c r="AO36" s="20" t="s">
        <v>203</v>
      </c>
      <c r="AP36" s="20" t="s">
        <v>203</v>
      </c>
      <c r="AQ36" s="23" t="s">
        <v>165</v>
      </c>
      <c r="AR36" s="20" t="s">
        <v>200</v>
      </c>
      <c r="AS36" s="20" t="s">
        <v>200</v>
      </c>
      <c r="AT36" s="20" t="s">
        <v>200</v>
      </c>
      <c r="AU36" s="20" t="s">
        <v>200</v>
      </c>
      <c r="AV36" s="20" t="s">
        <v>200</v>
      </c>
      <c r="AW36" s="23" t="s">
        <v>166</v>
      </c>
      <c r="AX36" s="20" t="s">
        <v>200</v>
      </c>
      <c r="AY36" s="20" t="s">
        <v>200</v>
      </c>
      <c r="AZ36" s="20" t="s">
        <v>200</v>
      </c>
      <c r="BA36" s="20" t="s">
        <v>200</v>
      </c>
      <c r="BB36" s="20" t="s">
        <v>200</v>
      </c>
      <c r="BC36" s="20" t="s">
        <v>200</v>
      </c>
      <c r="BD36" s="20" t="s">
        <v>200</v>
      </c>
      <c r="BE36" s="23" t="s">
        <v>167</v>
      </c>
      <c r="BF36" s="20" t="s">
        <v>200</v>
      </c>
      <c r="BG36" s="20" t="s">
        <v>200</v>
      </c>
      <c r="BH36" s="20" t="s">
        <v>200</v>
      </c>
      <c r="BI36" s="20" t="s">
        <v>200</v>
      </c>
      <c r="BJ36" s="20" t="s">
        <v>200</v>
      </c>
      <c r="BK36" s="20" t="s">
        <v>200</v>
      </c>
      <c r="BL36" s="20" t="s">
        <v>200</v>
      </c>
      <c r="BM36" s="23" t="s">
        <v>168</v>
      </c>
      <c r="BN36" s="20" t="s">
        <v>200</v>
      </c>
      <c r="BO36" s="20" t="s">
        <v>200</v>
      </c>
      <c r="BP36" s="20" t="s">
        <v>200</v>
      </c>
      <c r="BQ36" s="20" t="s">
        <v>200</v>
      </c>
      <c r="BR36" s="20" t="s">
        <v>200</v>
      </c>
      <c r="BS36" s="20" t="s">
        <v>200</v>
      </c>
      <c r="BT36" s="20" t="s">
        <v>200</v>
      </c>
      <c r="BU36" s="20" t="s">
        <v>200</v>
      </c>
      <c r="BV36" s="23" t="s">
        <v>169</v>
      </c>
      <c r="BW36" s="20" t="s">
        <v>200</v>
      </c>
      <c r="BX36" s="20" t="s">
        <v>200</v>
      </c>
      <c r="BY36" s="20" t="s">
        <v>200</v>
      </c>
      <c r="BZ36" s="20" t="s">
        <v>200</v>
      </c>
      <c r="CA36" s="20" t="s">
        <v>200</v>
      </c>
      <c r="CB36" s="20" t="s">
        <v>200</v>
      </c>
      <c r="CC36" s="20" t="s">
        <v>200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2"/>
        <v>19971112</v>
      </c>
      <c r="H37" s="20" t="s">
        <v>51</v>
      </c>
      <c r="I37" s="22">
        <f t="shared" si="3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200</v>
      </c>
      <c r="AK37" s="20" t="s">
        <v>200</v>
      </c>
      <c r="AL37" s="20" t="s">
        <v>200</v>
      </c>
      <c r="AM37" s="20" t="s">
        <v>200</v>
      </c>
      <c r="AN37" s="20" t="s">
        <v>200</v>
      </c>
      <c r="AO37" s="20" t="s">
        <v>200</v>
      </c>
      <c r="AP37" s="20" t="s">
        <v>200</v>
      </c>
      <c r="AQ37" s="23" t="s">
        <v>165</v>
      </c>
      <c r="AR37" s="20" t="s">
        <v>200</v>
      </c>
      <c r="AS37" s="20" t="s">
        <v>200</v>
      </c>
      <c r="AT37" s="20" t="s">
        <v>200</v>
      </c>
      <c r="AU37" s="20" t="s">
        <v>200</v>
      </c>
      <c r="AV37" s="20" t="s">
        <v>200</v>
      </c>
      <c r="AW37" s="23" t="s">
        <v>166</v>
      </c>
      <c r="AX37" s="20" t="s">
        <v>200</v>
      </c>
      <c r="AY37" s="20" t="s">
        <v>200</v>
      </c>
      <c r="AZ37" s="20" t="s">
        <v>200</v>
      </c>
      <c r="BA37" s="20" t="s">
        <v>200</v>
      </c>
      <c r="BB37" s="20" t="s">
        <v>200</v>
      </c>
      <c r="BC37" s="20" t="s">
        <v>200</v>
      </c>
      <c r="BD37" s="20" t="s">
        <v>200</v>
      </c>
      <c r="BE37" s="23" t="s">
        <v>167</v>
      </c>
      <c r="BF37" s="20" t="s">
        <v>200</v>
      </c>
      <c r="BG37" s="20" t="s">
        <v>200</v>
      </c>
      <c r="BH37" s="20" t="s">
        <v>200</v>
      </c>
      <c r="BI37" s="20" t="s">
        <v>200</v>
      </c>
      <c r="BJ37" s="20" t="s">
        <v>200</v>
      </c>
      <c r="BK37" s="20" t="s">
        <v>200</v>
      </c>
      <c r="BL37" s="20" t="s">
        <v>200</v>
      </c>
      <c r="BM37" s="23" t="s">
        <v>168</v>
      </c>
      <c r="BN37" s="20" t="s">
        <v>200</v>
      </c>
      <c r="BO37" s="20" t="s">
        <v>200</v>
      </c>
      <c r="BP37" s="20" t="s">
        <v>200</v>
      </c>
      <c r="BQ37" s="20" t="s">
        <v>200</v>
      </c>
      <c r="BR37" s="20" t="s">
        <v>200</v>
      </c>
      <c r="BS37" s="20" t="s">
        <v>200</v>
      </c>
      <c r="BT37" s="20" t="s">
        <v>200</v>
      </c>
      <c r="BU37" s="20" t="s">
        <v>200</v>
      </c>
      <c r="BV37" s="23" t="s">
        <v>169</v>
      </c>
      <c r="BW37" s="20" t="s">
        <v>200</v>
      </c>
      <c r="BX37" s="20" t="s">
        <v>200</v>
      </c>
      <c r="BY37" s="20" t="s">
        <v>200</v>
      </c>
      <c r="BZ37" s="20" t="s">
        <v>200</v>
      </c>
      <c r="CA37" s="20" t="s">
        <v>200</v>
      </c>
      <c r="CB37" s="20" t="s">
        <v>200</v>
      </c>
      <c r="CC37" s="20" t="s">
        <v>200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2"/>
        <v>19950516</v>
      </c>
      <c r="H38" s="20" t="s">
        <v>50</v>
      </c>
      <c r="I38" s="22">
        <f t="shared" si="3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200</v>
      </c>
      <c r="AK38" s="20" t="s">
        <v>200</v>
      </c>
      <c r="AL38" s="20" t="s">
        <v>200</v>
      </c>
      <c r="AM38" s="20" t="s">
        <v>200</v>
      </c>
      <c r="AN38" s="20" t="s">
        <v>200</v>
      </c>
      <c r="AO38" s="20" t="s">
        <v>200</v>
      </c>
      <c r="AP38" s="20" t="s">
        <v>200</v>
      </c>
      <c r="AQ38" s="23" t="s">
        <v>165</v>
      </c>
      <c r="AR38" s="20" t="s">
        <v>200</v>
      </c>
      <c r="AS38" s="20" t="s">
        <v>200</v>
      </c>
      <c r="AT38" s="20" t="s">
        <v>200</v>
      </c>
      <c r="AU38" s="20" t="s">
        <v>200</v>
      </c>
      <c r="AV38" s="20" t="s">
        <v>200</v>
      </c>
      <c r="AW38" s="23" t="s">
        <v>166</v>
      </c>
      <c r="AX38" s="20" t="s">
        <v>200</v>
      </c>
      <c r="AY38" s="20" t="s">
        <v>200</v>
      </c>
      <c r="AZ38" s="20" t="s">
        <v>200</v>
      </c>
      <c r="BA38" s="20" t="s">
        <v>200</v>
      </c>
      <c r="BB38" s="20" t="s">
        <v>200</v>
      </c>
      <c r="BC38" s="20" t="s">
        <v>200</v>
      </c>
      <c r="BD38" s="20" t="s">
        <v>200</v>
      </c>
      <c r="BE38" s="23" t="s">
        <v>167</v>
      </c>
      <c r="BF38" s="20" t="s">
        <v>200</v>
      </c>
      <c r="BG38" s="20" t="s">
        <v>200</v>
      </c>
      <c r="BH38" s="20" t="s">
        <v>200</v>
      </c>
      <c r="BI38" s="20" t="s">
        <v>200</v>
      </c>
      <c r="BJ38" s="20" t="s">
        <v>200</v>
      </c>
      <c r="BK38" s="20" t="s">
        <v>200</v>
      </c>
      <c r="BL38" s="20" t="s">
        <v>200</v>
      </c>
      <c r="BM38" s="23" t="s">
        <v>168</v>
      </c>
      <c r="BN38" s="20" t="s">
        <v>200</v>
      </c>
      <c r="BO38" s="20" t="s">
        <v>200</v>
      </c>
      <c r="BP38" s="20" t="s">
        <v>200</v>
      </c>
      <c r="BQ38" s="20" t="s">
        <v>200</v>
      </c>
      <c r="BR38" s="20" t="s">
        <v>200</v>
      </c>
      <c r="BS38" s="20" t="s">
        <v>200</v>
      </c>
      <c r="BT38" s="20" t="s">
        <v>200</v>
      </c>
      <c r="BU38" s="20" t="s">
        <v>200</v>
      </c>
      <c r="BV38" s="23" t="s">
        <v>169</v>
      </c>
      <c r="BW38" s="20" t="s">
        <v>200</v>
      </c>
      <c r="BX38" s="20" t="s">
        <v>200</v>
      </c>
      <c r="BY38" s="20" t="s">
        <v>200</v>
      </c>
      <c r="BZ38" s="20" t="s">
        <v>200</v>
      </c>
      <c r="CA38" s="20" t="s">
        <v>200</v>
      </c>
      <c r="CB38" s="20" t="s">
        <v>200</v>
      </c>
      <c r="CC38" s="20" t="s">
        <v>200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2"/>
        <v>19980505</v>
      </c>
      <c r="H39" s="20" t="s">
        <v>16</v>
      </c>
      <c r="I39" s="22">
        <f t="shared" si="3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200</v>
      </c>
      <c r="U39" s="20" t="s">
        <v>200</v>
      </c>
      <c r="V39" s="20" t="s">
        <v>200</v>
      </c>
      <c r="W39" s="20" t="s">
        <v>200</v>
      </c>
      <c r="X39" s="20" t="s">
        <v>200</v>
      </c>
      <c r="Y39" s="20" t="s">
        <v>200</v>
      </c>
      <c r="Z39" s="20" t="s">
        <v>200</v>
      </c>
      <c r="AA39" s="23" t="s">
        <v>163</v>
      </c>
      <c r="AB39" s="20" t="s">
        <v>200</v>
      </c>
      <c r="AC39" s="20" t="s">
        <v>200</v>
      </c>
      <c r="AD39" s="20" t="s">
        <v>200</v>
      </c>
      <c r="AE39" s="20" t="s">
        <v>200</v>
      </c>
      <c r="AF39" s="20" t="s">
        <v>200</v>
      </c>
      <c r="AG39" s="20" t="s">
        <v>200</v>
      </c>
      <c r="AH39" s="20" t="s">
        <v>200</v>
      </c>
      <c r="AI39" s="23" t="s">
        <v>164</v>
      </c>
      <c r="AJ39" s="20" t="s">
        <v>200</v>
      </c>
      <c r="AK39" s="20" t="s">
        <v>200</v>
      </c>
      <c r="AL39" s="20" t="s">
        <v>200</v>
      </c>
      <c r="AM39" s="20" t="s">
        <v>200</v>
      </c>
      <c r="AN39" s="20" t="s">
        <v>200</v>
      </c>
      <c r="AO39" s="20" t="s">
        <v>200</v>
      </c>
      <c r="AP39" s="20" t="s">
        <v>200</v>
      </c>
      <c r="AQ39" s="23" t="s">
        <v>165</v>
      </c>
      <c r="AR39" s="20" t="s">
        <v>200</v>
      </c>
      <c r="AS39" s="20" t="s">
        <v>200</v>
      </c>
      <c r="AT39" s="20" t="s">
        <v>200</v>
      </c>
      <c r="AU39" s="20" t="s">
        <v>200</v>
      </c>
      <c r="AV39" s="20" t="s">
        <v>200</v>
      </c>
      <c r="AW39" s="23" t="s">
        <v>166</v>
      </c>
      <c r="AX39" s="20" t="s">
        <v>200</v>
      </c>
      <c r="AY39" s="20" t="s">
        <v>200</v>
      </c>
      <c r="AZ39" s="20" t="s">
        <v>200</v>
      </c>
      <c r="BA39" s="20" t="s">
        <v>200</v>
      </c>
      <c r="BB39" s="20" t="s">
        <v>200</v>
      </c>
      <c r="BC39" s="20" t="s">
        <v>200</v>
      </c>
      <c r="BD39" s="20" t="s">
        <v>200</v>
      </c>
      <c r="BE39" s="23" t="s">
        <v>167</v>
      </c>
      <c r="BF39" s="20" t="s">
        <v>200</v>
      </c>
      <c r="BG39" s="20" t="s">
        <v>200</v>
      </c>
      <c r="BH39" s="20" t="s">
        <v>200</v>
      </c>
      <c r="BI39" s="20" t="s">
        <v>200</v>
      </c>
      <c r="BJ39" s="20" t="s">
        <v>200</v>
      </c>
      <c r="BK39" s="20" t="s">
        <v>200</v>
      </c>
      <c r="BL39" s="20" t="s">
        <v>200</v>
      </c>
      <c r="BM39" s="23" t="s">
        <v>168</v>
      </c>
      <c r="BN39" s="20" t="s">
        <v>200</v>
      </c>
      <c r="BO39" s="20" t="s">
        <v>200</v>
      </c>
      <c r="BP39" s="20" t="s">
        <v>200</v>
      </c>
      <c r="BQ39" s="20" t="s">
        <v>200</v>
      </c>
      <c r="BR39" s="20" t="s">
        <v>200</v>
      </c>
      <c r="BS39" s="20" t="s">
        <v>200</v>
      </c>
      <c r="BT39" s="20" t="s">
        <v>200</v>
      </c>
      <c r="BU39" s="20" t="s">
        <v>200</v>
      </c>
      <c r="BV39" s="23" t="s">
        <v>169</v>
      </c>
      <c r="BW39" s="20" t="s">
        <v>200</v>
      </c>
      <c r="BX39" s="20" t="s">
        <v>200</v>
      </c>
      <c r="BY39" s="20" t="s">
        <v>200</v>
      </c>
      <c r="BZ39" s="20" t="s">
        <v>200</v>
      </c>
      <c r="CA39" s="20" t="s">
        <v>200</v>
      </c>
      <c r="CB39" s="20" t="s">
        <v>200</v>
      </c>
      <c r="CC39" s="20" t="s">
        <v>200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CE6"/>
  <sheetViews>
    <sheetView tabSelected="1" workbookViewId="0">
      <selection activeCell="D10" sqref="D10"/>
    </sheetView>
  </sheetViews>
  <sheetFormatPr defaultRowHeight="18.5" x14ac:dyDescent="0.55000000000000004"/>
  <cols>
    <col min="1" max="1" width="51.75" style="6" customWidth="1"/>
    <col min="2" max="2" width="52.75" style="32" hidden="1" customWidth="1"/>
    <col min="3" max="3" width="9.83203125" style="5" bestFit="1" customWidth="1"/>
    <col min="4" max="4" width="18.6640625" style="1" customWidth="1"/>
    <col min="5" max="5" width="18.6640625" style="1" hidden="1" customWidth="1"/>
    <col min="6" max="6" width="25.5" style="1" customWidth="1"/>
    <col min="7" max="7" width="15.58203125" style="1" hidden="1" customWidth="1"/>
    <col min="8" max="8" width="6.6640625" style="1" bestFit="1" customWidth="1"/>
    <col min="9" max="10" width="8.6640625" style="1"/>
    <col min="11" max="11" width="10.9140625" style="1" bestFit="1" customWidth="1"/>
    <col min="12" max="13" width="9" style="1" bestFit="1" customWidth="1"/>
    <col min="14" max="14" width="7.1640625" style="1" bestFit="1" customWidth="1"/>
    <col min="15" max="15" width="9" style="1" bestFit="1" customWidth="1"/>
    <col min="16" max="16" width="10.9140625" style="1" bestFit="1" customWidth="1"/>
    <col min="17" max="21" width="9" style="1" bestFit="1" customWidth="1"/>
    <col min="22" max="22" width="10.9140625" style="1" bestFit="1" customWidth="1"/>
    <col min="23" max="23" width="9" style="1" bestFit="1" customWidth="1"/>
    <col min="24" max="24" width="7.1640625" style="1" bestFit="1" customWidth="1"/>
    <col min="25" max="26" width="9" style="1" bestFit="1" customWidth="1"/>
    <col min="27" max="27" width="10.9140625" style="1" bestFit="1" customWidth="1"/>
    <col min="28" max="32" width="9" style="1" bestFit="1" customWidth="1"/>
    <col min="33" max="33" width="7.1640625" style="1" bestFit="1" customWidth="1"/>
    <col min="34" max="41" width="9" style="1" bestFit="1" customWidth="1"/>
    <col min="42" max="42" width="7.1640625" style="1" bestFit="1" customWidth="1"/>
    <col min="43" max="43" width="9" style="1" bestFit="1" customWidth="1"/>
    <col min="44" max="44" width="7.1640625" style="1" bestFit="1" customWidth="1"/>
    <col min="45" max="47" width="9" style="1" bestFit="1" customWidth="1"/>
    <col min="48" max="16384" width="8.6640625" style="1"/>
  </cols>
  <sheetData>
    <row r="1" spans="1:83" s="3" customFormat="1" x14ac:dyDescent="0.55000000000000004">
      <c r="A1" s="10" t="s">
        <v>171</v>
      </c>
      <c r="B1" s="30" t="s">
        <v>208</v>
      </c>
      <c r="C1" s="11" t="s">
        <v>173</v>
      </c>
      <c r="D1" s="3" t="s">
        <v>172</v>
      </c>
      <c r="E1" s="3" t="s">
        <v>209</v>
      </c>
      <c r="F1" s="3" t="s">
        <v>175</v>
      </c>
      <c r="G1" s="3" t="s">
        <v>210</v>
      </c>
      <c r="H1" s="3" t="s">
        <v>174</v>
      </c>
      <c r="I1" s="3" t="s">
        <v>204</v>
      </c>
      <c r="J1" s="3" t="s">
        <v>12</v>
      </c>
      <c r="K1" s="3" t="s">
        <v>15</v>
      </c>
      <c r="L1" s="3" t="s">
        <v>17</v>
      </c>
      <c r="M1" s="3" t="s">
        <v>19</v>
      </c>
      <c r="N1" s="3" t="s">
        <v>21</v>
      </c>
      <c r="O1" s="3" t="s">
        <v>23</v>
      </c>
      <c r="P1" s="3" t="s">
        <v>25</v>
      </c>
      <c r="Q1" s="3" t="s">
        <v>27</v>
      </c>
      <c r="R1" s="3" t="s">
        <v>30</v>
      </c>
      <c r="S1" s="3" t="s">
        <v>32</v>
      </c>
      <c r="T1" s="3" t="s">
        <v>33</v>
      </c>
      <c r="U1" s="3" t="s">
        <v>34</v>
      </c>
      <c r="V1" s="3" t="s">
        <v>36</v>
      </c>
      <c r="W1" s="3" t="s">
        <v>39</v>
      </c>
      <c r="X1" s="3" t="s">
        <v>104</v>
      </c>
      <c r="Y1" s="3" t="s">
        <v>40</v>
      </c>
      <c r="Z1" s="3" t="s">
        <v>43</v>
      </c>
      <c r="AA1" s="3" t="s">
        <v>105</v>
      </c>
      <c r="AB1" s="3" t="s">
        <v>106</v>
      </c>
      <c r="AC1" s="3" t="s">
        <v>107</v>
      </c>
      <c r="AD1" s="3" t="s">
        <v>108</v>
      </c>
      <c r="AE1" s="3" t="s">
        <v>109</v>
      </c>
      <c r="AF1" s="3" t="s">
        <v>110</v>
      </c>
      <c r="AG1" s="3" t="s">
        <v>111</v>
      </c>
      <c r="AH1" s="3" t="s">
        <v>112</v>
      </c>
      <c r="AI1" s="3" t="s">
        <v>113</v>
      </c>
      <c r="AJ1" s="3" t="s">
        <v>114</v>
      </c>
      <c r="AK1" s="3" t="s">
        <v>9</v>
      </c>
      <c r="AL1" s="3" t="s">
        <v>115</v>
      </c>
      <c r="AM1" s="3" t="s">
        <v>116</v>
      </c>
      <c r="AN1" s="3" t="s">
        <v>117</v>
      </c>
      <c r="AO1" s="3" t="s">
        <v>118</v>
      </c>
      <c r="AP1" s="3" t="s">
        <v>119</v>
      </c>
      <c r="AQ1" s="3" t="s">
        <v>120</v>
      </c>
      <c r="AR1" s="3" t="s">
        <v>121</v>
      </c>
      <c r="AS1" s="3" t="s">
        <v>122</v>
      </c>
      <c r="AT1" s="3" t="s">
        <v>123</v>
      </c>
      <c r="AU1" s="3" t="s">
        <v>12</v>
      </c>
      <c r="AV1" s="3" t="s">
        <v>15</v>
      </c>
      <c r="AW1" s="3" t="s">
        <v>17</v>
      </c>
      <c r="AX1" s="3" t="s">
        <v>19</v>
      </c>
      <c r="AY1" s="3" t="s">
        <v>21</v>
      </c>
      <c r="AZ1" s="3" t="s">
        <v>23</v>
      </c>
      <c r="BA1" s="3" t="s">
        <v>25</v>
      </c>
      <c r="BB1" s="3" t="s">
        <v>27</v>
      </c>
      <c r="BC1" s="3" t="s">
        <v>30</v>
      </c>
      <c r="BD1" s="3" t="s">
        <v>32</v>
      </c>
      <c r="BE1" s="3" t="s">
        <v>33</v>
      </c>
      <c r="BF1" s="3" t="s">
        <v>34</v>
      </c>
      <c r="BG1" s="3" t="s">
        <v>36</v>
      </c>
      <c r="BH1" s="3" t="s">
        <v>39</v>
      </c>
      <c r="BI1" s="3" t="s">
        <v>104</v>
      </c>
      <c r="BJ1" s="3" t="s">
        <v>40</v>
      </c>
      <c r="BK1" s="3" t="s">
        <v>43</v>
      </c>
      <c r="BL1" s="3" t="s">
        <v>105</v>
      </c>
      <c r="BM1" s="3" t="s">
        <v>106</v>
      </c>
      <c r="BN1" s="3" t="s">
        <v>107</v>
      </c>
      <c r="BO1" s="3" t="s">
        <v>108</v>
      </c>
      <c r="BP1" s="3" t="s">
        <v>109</v>
      </c>
      <c r="BQ1" s="3" t="s">
        <v>110</v>
      </c>
      <c r="BR1" s="3" t="s">
        <v>111</v>
      </c>
      <c r="BS1" s="3" t="s">
        <v>112</v>
      </c>
      <c r="BT1" s="3" t="s">
        <v>113</v>
      </c>
      <c r="BU1" s="3" t="s">
        <v>114</v>
      </c>
      <c r="BV1" s="3" t="s">
        <v>9</v>
      </c>
      <c r="BW1" s="3" t="s">
        <v>115</v>
      </c>
      <c r="BX1" s="3" t="s">
        <v>116</v>
      </c>
      <c r="BY1" s="3" t="s">
        <v>117</v>
      </c>
      <c r="BZ1" s="3" t="s">
        <v>118</v>
      </c>
      <c r="CA1" s="3" t="s">
        <v>119</v>
      </c>
      <c r="CB1" s="3" t="s">
        <v>120</v>
      </c>
      <c r="CC1" s="3" t="s">
        <v>121</v>
      </c>
      <c r="CD1" s="3" t="s">
        <v>122</v>
      </c>
      <c r="CE1" s="3" t="s">
        <v>123</v>
      </c>
    </row>
    <row r="2" spans="1:83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撮影日</v>
      </c>
      <c r="D2" s="9" t="str">
        <f t="shared" ref="D2:G2" si="0"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サブグループ</v>
      </c>
      <c r="E2" s="9" t="str">
        <f t="shared" si="0"/>
        <v>サブグループのフォルダ名</v>
      </c>
      <c r="F2" s="9" t="str">
        <f t="shared" si="0"/>
        <v>ファイル名[枚数]</v>
      </c>
      <c r="G2" s="9" t="str">
        <f t="shared" si="0"/>
        <v>ファイル名</v>
      </c>
      <c r="H2" s="9" t="str">
        <f t="shared" ref="H2:AU2" si="1">SUBSTITUTE(SUBSTITUTE(SUBSTITUTE(SUBSTITUTE(SUBSTITUTE(SUBSTITUTE(SUBSTITUTE(SUBSTITUTE(SUBSTITUTE(SUBSTITUTE(SUBSTITUTE(SUBSTITUTE(SUBSTITUTE(SUBSTITUTE(SUBSTITUTE(SUBSTITUTE(SUBSTITUTE(SUBSTITUTE(H1, " ", "_"), "　", "_"), "'", ""), """", ""), "!", ""), "@", ""), "#", ""), "?", ""), "！", ""), "？", ""), "$", ""), "%", ""), "^", ""), "&amp;", ""), "*", ""), "(", ""), ")", ""), "・", "")</f>
        <v>拡張子</v>
      </c>
      <c r="I2" s="9"/>
      <c r="K2" s="9" t="str">
        <f>SUBSTITUTE(SUBSTITUTE(SUBSTITUTE(SUBSTITUTE(SUBSTITUTE(SUBSTITUTE(SUBSTITUTE(SUBSTITUTE(SUBSTITUTE(SUBSTITUTE(SUBSTITUTE(SUBSTITUTE(SUBSTITUTE(SUBSTITUTE(SUBSTITUTE(SUBSTITUTE(SUBSTITUTE(SUBSTITUTE(K1, " ", "_"), "　", "_"), "'", ""), """", ""), "!", ""), "@", ""), "#", ""), "?", ""), "！", ""), "？", ""), "$", ""), "%", ""), "^", ""), "&amp;", ""), "*", ""), "(", ""), ")", ""), "・", "")</f>
        <v>齋藤_冬優花</v>
      </c>
      <c r="L2" s="9" t="str">
        <f>SUBSTITUTE(SUBSTITUTE(SUBSTITUTE(SUBSTITUTE(SUBSTITUTE(SUBSTITUTE(SUBSTITUTE(SUBSTITUTE(SUBSTITUTE(SUBSTITUTE(SUBSTITUTE(SUBSTITUTE(SUBSTITUTE(SUBSTITUTE(SUBSTITUTE(SUBSTITUTE(SUBSTITUTE(SUBSTITUTE(L1, " ", "_"), "　", "_"), "'", ""), """", ""), "!", ""), "@", ""), "#", ""), "?", ""), "！", ""), "？", ""), "$", ""), "%", ""), "^", ""), "&amp;", ""), "*", ""), "(", ""), ")", ""), "・", "")</f>
        <v>井上_梨名</v>
      </c>
      <c r="M2" s="9" t="str">
        <f>SUBSTITUTE(SUBSTITUTE(SUBSTITUTE(SUBSTITUTE(SUBSTITUTE(SUBSTITUTE(SUBSTITUTE(SUBSTITUTE(SUBSTITUTE(SUBSTITUTE(SUBSTITUTE(SUBSTITUTE(SUBSTITUTE(SUBSTITUTE(SUBSTITUTE(SUBSTITUTE(SUBSTITUTE(SUBSTITUTE(M1, " ", "_"), "　", "_"), "'", ""), """", ""), "!", ""), "@", ""), "#", ""), "?", ""), "！", ""), "？", ""), "$", ""), "%", ""), "^", ""), "&amp;", ""), "*", ""), "(", ""), ")", ""), "・", "")</f>
        <v>遠藤_光莉</v>
      </c>
      <c r="N2" s="9" t="str">
        <f>SUBSTITUTE(SUBSTITUTE(SUBSTITUTE(SUBSTITUTE(SUBSTITUTE(SUBSTITUTE(SUBSTITUTE(SUBSTITUTE(SUBSTITUTE(SUBSTITUTE(SUBSTITUTE(SUBSTITUTE(SUBSTITUTE(SUBSTITUTE(SUBSTITUTE(SUBSTITUTE(SUBSTITUTE(SUBSTITUTE(N1, " ", "_"), "　", "_"), "'", ""), """", ""), "!", ""), "@", ""), "#", ""), "?", ""), "！", ""), "？", ""), "$", ""), "%", ""), "^", ""), "&amp;", ""), "*", ""), "(", ""), ")", ""), "・", "")</f>
        <v>大園_玲</v>
      </c>
      <c r="O2" s="9" t="str">
        <f>SUBSTITUTE(SUBSTITUTE(SUBSTITUTE(SUBSTITUTE(SUBSTITUTE(SUBSTITUTE(SUBSTITUTE(SUBSTITUTE(SUBSTITUTE(SUBSTITUTE(SUBSTITUTE(SUBSTITUTE(SUBSTITUTE(SUBSTITUTE(SUBSTITUTE(SUBSTITUTE(SUBSTITUTE(SUBSTITUTE(O1, " ", "_"), "　", "_"), "'", ""), """", ""), "!", ""), "@", ""), "#", ""), "?", ""), "！", ""), "？", ""), "$", ""), "%", ""), "^", ""), "&amp;", ""), "*", ""), "(", ""), ")", ""), "・", "")</f>
        <v>大沼_晶保</v>
      </c>
      <c r="P2" s="9" t="str">
        <f>SUBSTITUTE(SUBSTITUTE(SUBSTITUTE(SUBSTITUTE(SUBSTITUTE(SUBSTITUTE(SUBSTITUTE(SUBSTITUTE(SUBSTITUTE(SUBSTITUTE(SUBSTITUTE(SUBSTITUTE(SUBSTITUTE(SUBSTITUTE(SUBSTITUTE(SUBSTITUTE(SUBSTITUTE(SUBSTITUTE(P1, " ", "_"), "　", "_"), "'", ""), """", ""), "!", ""), "@", ""), "#", ""), "?", ""), "！", ""), "？", ""), "$", ""), "%", ""), "^", ""), "&amp;", ""), "*", ""), "(", ""), ")", ""), "・", "")</f>
        <v>幸阪_茉里乃</v>
      </c>
      <c r="Q2" s="9" t="str">
        <f>SUBSTITUTE(SUBSTITUTE(SUBSTITUTE(SUBSTITUTE(SUBSTITUTE(SUBSTITUTE(SUBSTITUTE(SUBSTITUTE(SUBSTITUTE(SUBSTITUTE(SUBSTITUTE(SUBSTITUTE(SUBSTITUTE(SUBSTITUTE(SUBSTITUTE(SUBSTITUTE(SUBSTITUTE(SUBSTITUTE(Q1, " ", "_"), "　", "_"), "'", ""), """", ""), "!", ""), "@", ""), "#", ""), "?", ""), "！", ""), "？", ""), "$", ""), "%", ""), "^", ""), "&amp;", ""), "*", ""), "(", ""), ")", ""), "・", "")</f>
        <v>武元_唯衣</v>
      </c>
      <c r="R2" s="9" t="str">
        <f>SUBSTITUTE(SUBSTITUTE(SUBSTITUTE(SUBSTITUTE(SUBSTITUTE(SUBSTITUTE(SUBSTITUTE(SUBSTITUTE(SUBSTITUTE(SUBSTITUTE(SUBSTITUTE(SUBSTITUTE(SUBSTITUTE(SUBSTITUTE(SUBSTITUTE(SUBSTITUTE(SUBSTITUTE(SUBSTITUTE(R1, " ", "_"), "　", "_"), "'", ""), """", ""), "!", ""), "@", ""), "#", ""), "?", ""), "！", ""), "？", ""), "$", ""), "%", ""), "^", ""), "&amp;", ""), "*", ""), "(", ""), ")", ""), "・", "")</f>
        <v>田村_保乃</v>
      </c>
      <c r="S2" s="9" t="str">
        <f>SUBSTITUTE(SUBSTITUTE(SUBSTITUTE(SUBSTITUTE(SUBSTITUTE(SUBSTITUTE(SUBSTITUTE(SUBSTITUTE(SUBSTITUTE(SUBSTITUTE(SUBSTITUTE(SUBSTITUTE(SUBSTITUTE(SUBSTITUTE(SUBSTITUTE(SUBSTITUTE(SUBSTITUTE(SUBSTITUTE(S1, " ", "_"), "　", "_"), "'", ""), """", ""), "!", ""), "@", ""), "#", ""), "?", ""), "！", ""), "？", ""), "$", ""), "%", ""), "^", ""), "&amp;", ""), "*", ""), "(", ""), ")", ""), "・", "")</f>
        <v>藤吉_夏鈴</v>
      </c>
      <c r="T2" s="9" t="str">
        <f>SUBSTITUTE(SUBSTITUTE(SUBSTITUTE(SUBSTITUTE(SUBSTITUTE(SUBSTITUTE(SUBSTITUTE(SUBSTITUTE(SUBSTITUTE(SUBSTITUTE(SUBSTITUTE(SUBSTITUTE(SUBSTITUTE(SUBSTITUTE(SUBSTITUTE(SUBSTITUTE(SUBSTITUTE(SUBSTITUTE(T1, " ", "_"), "　", "_"), "'", ""), """", ""), "!", ""), "@", ""), "#", ""), "?", ""), "！", ""), "？", ""), "$", ""), "%", ""), "^", ""), "&amp;", ""), "*", ""), "(", ""), ")", ""), "・", "")</f>
        <v>増本_綺良</v>
      </c>
      <c r="U2" s="9" t="str">
        <f>SUBSTITUTE(SUBSTITUTE(SUBSTITUTE(SUBSTITUTE(SUBSTITUTE(SUBSTITUTE(SUBSTITUTE(SUBSTITUTE(SUBSTITUTE(SUBSTITUTE(SUBSTITUTE(SUBSTITUTE(SUBSTITUTE(SUBSTITUTE(SUBSTITUTE(SUBSTITUTE(SUBSTITUTE(SUBSTITUTE(U1, " ", "_"), "　", "_"), "'", ""), """", ""), "!", ""), "@", ""), "#", ""), "?", ""), "！", ""), "？", ""), "$", ""), "%", ""), "^", ""), "&amp;", ""), "*", ""), "(", ""), ")", ""), "・", "")</f>
        <v>松田_里奈</v>
      </c>
      <c r="V2" s="9" t="str">
        <f>SUBSTITUTE(SUBSTITUTE(SUBSTITUTE(SUBSTITUTE(SUBSTITUTE(SUBSTITUTE(SUBSTITUTE(SUBSTITUTE(SUBSTITUTE(SUBSTITUTE(SUBSTITUTE(SUBSTITUTE(SUBSTITUTE(SUBSTITUTE(SUBSTITUTE(SUBSTITUTE(SUBSTITUTE(SUBSTITUTE(V1, " ", "_"), "　", "_"), "'", ""), """", ""), "!", ""), "@", ""), "#", ""), "?", ""), "！", ""), "？", ""), "$", ""), "%", ""), "^", ""), "&amp;", ""), "*", ""), "(", ""), ")", ""), "・", "")</f>
        <v>森田_ひかる</v>
      </c>
      <c r="W2" s="9" t="str">
        <f>SUBSTITUTE(SUBSTITUTE(SUBSTITUTE(SUBSTITUTE(SUBSTITUTE(SUBSTITUTE(SUBSTITUTE(SUBSTITUTE(SUBSTITUTE(SUBSTITUTE(SUBSTITUTE(SUBSTITUTE(SUBSTITUTE(SUBSTITUTE(SUBSTITUTE(SUBSTITUTE(SUBSTITUTE(SUBSTITUTE(W1, " ", "_"), "　", "_"), "'", ""), """", ""), "!", ""), "@", ""), "#", ""), "?", ""), "！", ""), "？", ""), "$", ""), "%", ""), "^", ""), "&amp;", ""), "*", ""), "(", ""), ")", ""), "・", "")</f>
        <v>守屋_麗奈</v>
      </c>
      <c r="X2" s="9" t="str">
        <f>SUBSTITUTE(SUBSTITUTE(SUBSTITUTE(SUBSTITUTE(SUBSTITUTE(SUBSTITUTE(SUBSTITUTE(SUBSTITUTE(SUBSTITUTE(SUBSTITUTE(SUBSTITUTE(SUBSTITUTE(SUBSTITUTE(SUBSTITUTE(SUBSTITUTE(SUBSTITUTE(SUBSTITUTE(SUBSTITUTE(X1, " ", "_"), "　", "_"), "'", ""), """", ""), "!", ""), "@", ""), "#", ""), "?", ""), "！", ""), "？", ""), "$", ""), "%", ""), "^", ""), "&amp;", ""), "*", ""), "(", ""), ")", ""), "・", "")</f>
        <v>山﨑_天</v>
      </c>
      <c r="Y2" s="9" t="str">
        <f>SUBSTITUTE(SUBSTITUTE(SUBSTITUTE(SUBSTITUTE(SUBSTITUTE(SUBSTITUTE(SUBSTITUTE(SUBSTITUTE(SUBSTITUTE(SUBSTITUTE(SUBSTITUTE(SUBSTITUTE(SUBSTITUTE(SUBSTITUTE(SUBSTITUTE(SUBSTITUTE(SUBSTITUTE(SUBSTITUTE(Y1, " ", "_"), "　", "_"), "'", ""), """", ""), "!", ""), "@", ""), "#", ""), "?", ""), "！", ""), "？", ""), "$", ""), "%", ""), "^", ""), "&amp;", ""), "*", ""), "(", ""), ")", ""), "・", "")</f>
        <v>石森_璃花</v>
      </c>
      <c r="Z2" s="9" t="str">
        <f>SUBSTITUTE(SUBSTITUTE(SUBSTITUTE(SUBSTITUTE(SUBSTITUTE(SUBSTITUTE(SUBSTITUTE(SUBSTITUTE(SUBSTITUTE(SUBSTITUTE(SUBSTITUTE(SUBSTITUTE(SUBSTITUTE(SUBSTITUTE(SUBSTITUTE(SUBSTITUTE(SUBSTITUTE(SUBSTITUTE(Z1, " ", "_"), "　", "_"), "'", ""), """", ""), "!", ""), "@", ""), "#", ""), "?", ""), "！", ""), "？", ""), "$", ""), "%", ""), "^", ""), "&amp;", ""), "*", ""), "(", ""), ")", ""), "・", "")</f>
        <v>遠藤_理子</v>
      </c>
      <c r="AA2" s="9" t="str">
        <f>SUBSTITUTE(SUBSTITUTE(SUBSTITUTE(SUBSTITUTE(SUBSTITUTE(SUBSTITUTE(SUBSTITUTE(SUBSTITUTE(SUBSTITUTE(SUBSTITUTE(SUBSTITUTE(SUBSTITUTE(SUBSTITUTE(SUBSTITUTE(SUBSTITUTE(SUBSTITUTE(SUBSTITUTE(SUBSTITUTE(AA1, " ", "_"), "　", "_"), "'", ""), """", ""), "!", ""), "@", ""), "#", ""), "?", ""), "！", ""), "？", ""), "$", ""), "%", ""), "^", ""), "&amp;", ""), "*", ""), "(", ""), ")", ""), "・", "")</f>
        <v>小田倉_麗奈</v>
      </c>
      <c r="AB2" s="9" t="str">
        <f>SUBSTITUTE(SUBSTITUTE(SUBSTITUTE(SUBSTITUTE(SUBSTITUTE(SUBSTITUTE(SUBSTITUTE(SUBSTITUTE(SUBSTITUTE(SUBSTITUTE(SUBSTITUTE(SUBSTITUTE(SUBSTITUTE(SUBSTITUTE(SUBSTITUTE(SUBSTITUTE(SUBSTITUTE(SUBSTITUTE(AB1, " ", "_"), "　", "_"), "'", ""), """", ""), "!", ""), "@", ""), "#", ""), "?", ""), "！", ""), "？", ""), "$", ""), "%", ""), "^", ""), "&amp;", ""), "*", ""), "(", ""), ")", ""), "・", "")</f>
        <v>小島_凪紗</v>
      </c>
      <c r="AC2" s="9" t="str">
        <f>SUBSTITUTE(SUBSTITUTE(SUBSTITUTE(SUBSTITUTE(SUBSTITUTE(SUBSTITUTE(SUBSTITUTE(SUBSTITUTE(SUBSTITUTE(SUBSTITUTE(SUBSTITUTE(SUBSTITUTE(SUBSTITUTE(SUBSTITUTE(SUBSTITUTE(SUBSTITUTE(SUBSTITUTE(SUBSTITUTE(AC1, " ", "_"), "　", "_"), "'", ""), """", ""), "!", ""), "@", ""), "#", ""), "?", ""), "！", ""), "？", ""), "$", ""), "%", ""), "^", ""), "&amp;", ""), "*", ""), "(", ""), ")", ""), "・", "")</f>
        <v>谷口_愛季</v>
      </c>
      <c r="AD2" s="9" t="str">
        <f>SUBSTITUTE(SUBSTITUTE(SUBSTITUTE(SUBSTITUTE(SUBSTITUTE(SUBSTITUTE(SUBSTITUTE(SUBSTITUTE(SUBSTITUTE(SUBSTITUTE(SUBSTITUTE(SUBSTITUTE(SUBSTITUTE(SUBSTITUTE(SUBSTITUTE(SUBSTITUTE(SUBSTITUTE(SUBSTITUTE(AD1, " ", "_"), "　", "_"), "'", ""), """", ""), "!", ""), "@", ""), "#", ""), "?", ""), "！", ""), "？", ""), "$", ""), "%", ""), "^", ""), "&amp;", ""), "*", ""), "(", ""), ")", ""), "・", "")</f>
        <v>中嶋_優月</v>
      </c>
      <c r="AE2" s="9" t="str">
        <f>SUBSTITUTE(SUBSTITUTE(SUBSTITUTE(SUBSTITUTE(SUBSTITUTE(SUBSTITUTE(SUBSTITUTE(SUBSTITUTE(SUBSTITUTE(SUBSTITUTE(SUBSTITUTE(SUBSTITUTE(SUBSTITUTE(SUBSTITUTE(SUBSTITUTE(SUBSTITUTE(SUBSTITUTE(SUBSTITUTE(AE1, " ", "_"), "　", "_"), "'", ""), """", ""), "!", ""), "@", ""), "#", ""), "?", ""), "！", ""), "？", ""), "$", ""), "%", ""), "^", ""), "&amp;", ""), "*", ""), "(", ""), ")", ""), "・", "")</f>
        <v>的野_美青</v>
      </c>
      <c r="AF2" s="9" t="str">
        <f>SUBSTITUTE(SUBSTITUTE(SUBSTITUTE(SUBSTITUTE(SUBSTITUTE(SUBSTITUTE(SUBSTITUTE(SUBSTITUTE(SUBSTITUTE(SUBSTITUTE(SUBSTITUTE(SUBSTITUTE(SUBSTITUTE(SUBSTITUTE(SUBSTITUTE(SUBSTITUTE(SUBSTITUTE(SUBSTITUTE(AF1, " ", "_"), "　", "_"), "'", ""), """", ""), "!", ""), "@", ""), "#", ""), "?", ""), "！", ""), "？", ""), "$", ""), "%", ""), "^", ""), "&amp;", ""), "*", ""), "(", ""), ")", ""), "・", "")</f>
        <v>向井_純葉</v>
      </c>
      <c r="AG2" s="9" t="str">
        <f>SUBSTITUTE(SUBSTITUTE(SUBSTITUTE(SUBSTITUTE(SUBSTITUTE(SUBSTITUTE(SUBSTITUTE(SUBSTITUTE(SUBSTITUTE(SUBSTITUTE(SUBSTITUTE(SUBSTITUTE(SUBSTITUTE(SUBSTITUTE(SUBSTITUTE(SUBSTITUTE(SUBSTITUTE(SUBSTITUTE(AG1, " ", "_"), "　", "_"), "'", ""), """", ""), "!", ""), "@", ""), "#", ""), "?", ""), "！", ""), "？", ""), "$", ""), "%", ""), "^", ""), "&amp;", ""), "*", ""), "(", ""), ")", ""), "・", "")</f>
        <v>村井_優</v>
      </c>
      <c r="AH2" s="9" t="str">
        <f>SUBSTITUTE(SUBSTITUTE(SUBSTITUTE(SUBSTITUTE(SUBSTITUTE(SUBSTITUTE(SUBSTITUTE(SUBSTITUTE(SUBSTITUTE(SUBSTITUTE(SUBSTITUTE(SUBSTITUTE(SUBSTITUTE(SUBSTITUTE(SUBSTITUTE(SUBSTITUTE(SUBSTITUTE(SUBSTITUTE(AH1, " ", "_"), "　", "_"), "'", ""), """", ""), "!", ""), "@", ""), "#", ""), "?", ""), "！", ""), "？", ""), "$", ""), "%", ""), "^", ""), "&amp;", ""), "*", ""), "(", ""), ")", ""), "・", "")</f>
        <v>村山_美羽</v>
      </c>
      <c r="AI2" s="9" t="str">
        <f t="shared" ref="AI2" si="2">SUBSTITUTE(SUBSTITUTE(SUBSTITUTE(SUBSTITUTE(SUBSTITUTE(SUBSTITUTE(SUBSTITUTE(SUBSTITUTE(SUBSTITUTE(SUBSTITUTE(SUBSTITUTE(SUBSTITUTE(SUBSTITUTE(SUBSTITUTE(SUBSTITUTE(SUBSTITUTE(SUBSTITUTE(SUBSTITUTE(AI1, " ", "_"), "　", "_"), "'", ""), """", ""), "!", ""), "@", ""), "#", ""), "?", ""), "！", ""), "？", ""), "$", ""), "%", ""), "^", ""), "&amp;", ""), "*", ""), "(", ""), ")", ""), "・", "")</f>
        <v>山下_瞳月</v>
      </c>
      <c r="AJ2" s="9" t="str">
        <f>SUBSTITUTE(SUBSTITUTE(SUBSTITUTE(SUBSTITUTE(SUBSTITUTE(SUBSTITUTE(SUBSTITUTE(SUBSTITUTE(SUBSTITUTE(SUBSTITUTE(SUBSTITUTE(SUBSTITUTE(SUBSTITUTE(SUBSTITUTE(SUBSTITUTE(SUBSTITUTE(SUBSTITUTE(SUBSTITUTE(AJ1, " ", "_"), "　", "_"), "'", ""), """", ""), "!", ""), "@", ""), "#", ""), "?", ""), "！", ""), "？", ""), "$", ""), "%", ""), "^", ""), "&amp;", ""), "*", ""), "(", ""), ")", ""), "・", "")</f>
        <v>小林_由依</v>
      </c>
      <c r="AK2" s="9" t="str">
        <f>SUBSTITUTE(SUBSTITUTE(SUBSTITUTE(SUBSTITUTE(SUBSTITUTE(SUBSTITUTE(SUBSTITUTE(SUBSTITUTE(SUBSTITUTE(SUBSTITUTE(SUBSTITUTE(SUBSTITUTE(SUBSTITUTE(SUBSTITUTE(SUBSTITUTE(SUBSTITUTE(SUBSTITUTE(SUBSTITUTE(AK1, " ", "_"), "　", "_"), "'", ""), """", ""), "!", ""), "@", ""), "#", ""), "?", ""), "！", ""), "？", ""), "$", ""), "%", ""), "^", ""), "&amp;", ""), "*", ""), "(", ""), ")", ""), "・", "")</f>
        <v>上村_莉菜</v>
      </c>
      <c r="AL2" s="9" t="str">
        <f>SUBSTITUTE(SUBSTITUTE(SUBSTITUTE(SUBSTITUTE(SUBSTITUTE(SUBSTITUTE(SUBSTITUTE(SUBSTITUTE(SUBSTITUTE(SUBSTITUTE(SUBSTITUTE(SUBSTITUTE(SUBSTITUTE(SUBSTITUTE(SUBSTITUTE(SUBSTITUTE(SUBSTITUTE(SUBSTITUTE(AL1, " ", "_"), "　", "_"), "'", ""), """", ""), "!", ""), "@", ""), "#", ""), "?", ""), "！", ""), "？", ""), "$", ""), "%", ""), "^", ""), "&amp;", ""), "*", ""), "(", ""), ")", ""), "・", "")</f>
        <v>土生_瑞穂</v>
      </c>
      <c r="AM2" s="9" t="str">
        <f>SUBSTITUTE(SUBSTITUTE(SUBSTITUTE(SUBSTITUTE(SUBSTITUTE(SUBSTITUTE(SUBSTITUTE(SUBSTITUTE(SUBSTITUTE(SUBSTITUTE(SUBSTITUTE(SUBSTITUTE(SUBSTITUTE(SUBSTITUTE(SUBSTITUTE(SUBSTITUTE(SUBSTITUTE(SUBSTITUTE(AM1, " ", "_"), "　", "_"), "'", ""), """", ""), "!", ""), "@", ""), "#", ""), "?", ""), "！", ""), "？", ""), "$", ""), "%", ""), "^", ""), "&amp;", ""), "*", ""), "(", ""), ")", ""), "・", "")</f>
        <v>関_有美子</v>
      </c>
      <c r="AN2" s="9" t="str">
        <f>SUBSTITUTE(SUBSTITUTE(SUBSTITUTE(SUBSTITUTE(SUBSTITUTE(SUBSTITUTE(SUBSTITUTE(SUBSTITUTE(SUBSTITUTE(SUBSTITUTE(SUBSTITUTE(SUBSTITUTE(SUBSTITUTE(SUBSTITUTE(SUBSTITUTE(SUBSTITUTE(SUBSTITUTE(SUBSTITUTE(AN1, " ", "_"), "　", "_"), "'", ""), """", ""), "!", ""), "@", ""), "#", ""), "?", ""), "！", ""), "？", ""), "$", ""), "%", ""), "^", ""), "&amp;", ""), "*", ""), "(", ""), ")", ""), "・", "")</f>
        <v>菅井_友香</v>
      </c>
      <c r="AO2" s="9" t="str">
        <f>SUBSTITUTE(SUBSTITUTE(SUBSTITUTE(SUBSTITUTE(SUBSTITUTE(SUBSTITUTE(SUBSTITUTE(SUBSTITUTE(SUBSTITUTE(SUBSTITUTE(SUBSTITUTE(SUBSTITUTE(SUBSTITUTE(SUBSTITUTE(SUBSTITUTE(SUBSTITUTE(SUBSTITUTE(SUBSTITUTE(AO1, " ", "_"), "　", "_"), "'", ""), """", ""), "!", ""), "@", ""), "#", ""), "?", ""), "！", ""), "？", ""), "$", ""), "%", ""), "^", ""), "&amp;", ""), "*", ""), "(", ""), ")", ""), "・", "")</f>
        <v>尾関_梨香</v>
      </c>
      <c r="AP2" s="9" t="str">
        <f>SUBSTITUTE(SUBSTITUTE(SUBSTITUTE(SUBSTITUTE(SUBSTITUTE(SUBSTITUTE(SUBSTITUTE(SUBSTITUTE(SUBSTITUTE(SUBSTITUTE(SUBSTITUTE(SUBSTITUTE(SUBSTITUTE(SUBSTITUTE(SUBSTITUTE(SUBSTITUTE(SUBSTITUTE(SUBSTITUTE(AP1, " ", "_"), "　", "_"), "'", ""), """", ""), "!", ""), "@", ""), "#", ""), "?", ""), "！", ""), "？", ""), "$", ""), "%", ""), "^", ""), "&amp;", ""), "*", ""), "(", ""), ")", ""), "・", "")</f>
        <v>原田_葵</v>
      </c>
      <c r="AQ2" s="9" t="str">
        <f>SUBSTITUTE(SUBSTITUTE(SUBSTITUTE(SUBSTITUTE(SUBSTITUTE(SUBSTITUTE(SUBSTITUTE(SUBSTITUTE(SUBSTITUTE(SUBSTITUTE(SUBSTITUTE(SUBSTITUTE(SUBSTITUTE(SUBSTITUTE(SUBSTITUTE(SUBSTITUTE(SUBSTITUTE(SUBSTITUTE(AQ1, " ", "_"), "　", "_"), "'", ""), """", ""), "!", ""), "@", ""), "#", ""), "?", ""), "！", ""), "？", ""), "$", ""), "%", ""), "^", ""), "&amp;", ""), "*", ""), "(", ""), ")", ""), "・", "")</f>
        <v>渡邉_理佐</v>
      </c>
      <c r="AR2" s="9" t="str">
        <f>SUBSTITUTE(SUBSTITUTE(SUBSTITUTE(SUBSTITUTE(SUBSTITUTE(SUBSTITUTE(SUBSTITUTE(SUBSTITUTE(SUBSTITUTE(SUBSTITUTE(SUBSTITUTE(SUBSTITUTE(SUBSTITUTE(SUBSTITUTE(SUBSTITUTE(SUBSTITUTE(SUBSTITUTE(SUBSTITUTE(AR1, " ", "_"), "　", "_"), "'", ""), """", ""), "!", ""), "@", ""), "#", ""), "?", ""), "！", ""), "？", ""), "$", ""), "%", ""), "^", ""), "&amp;", ""), "*", ""), "(", ""), ")", ""), "・", "")</f>
        <v>守屋_茜</v>
      </c>
      <c r="AS2" s="9" t="str">
        <f>SUBSTITUTE(SUBSTITUTE(SUBSTITUTE(SUBSTITUTE(SUBSTITUTE(SUBSTITUTE(SUBSTITUTE(SUBSTITUTE(SUBSTITUTE(SUBSTITUTE(SUBSTITUTE(SUBSTITUTE(SUBSTITUTE(SUBSTITUTE(SUBSTITUTE(SUBSTITUTE(SUBSTITUTE(SUBSTITUTE(AS1, " ", "_"), "　", "_"), "'", ""), """", ""), "!", ""), "@", ""), "#", ""), "?", ""), "！", ""), "？", ""), "$", ""), "%", ""), "^", ""), "&amp;", ""), "*", ""), "(", ""), ")", ""), "・", "")</f>
        <v>渡辺_梨加</v>
      </c>
      <c r="AT2" s="9" t="str">
        <f>SUBSTITUTE(SUBSTITUTE(SUBSTITUTE(SUBSTITUTE(SUBSTITUTE(SUBSTITUTE(SUBSTITUTE(SUBSTITUTE(SUBSTITUTE(SUBSTITUTE(SUBSTITUTE(SUBSTITUTE(SUBSTITUTE(SUBSTITUTE(SUBSTITUTE(SUBSTITUTE(SUBSTITUTE(SUBSTITUTE(AT1, " ", "_"), "　", "_"), "'", ""), """", ""), "!", ""), "@", ""), "#", ""), "?", ""), "！", ""), "？", ""), "$", ""), "%", ""), "^", ""), "&amp;", ""), "*", ""), "(", ""), ")", ""), "・", "")</f>
        <v>松平_璃子</v>
      </c>
      <c r="AU2" s="9" t="str">
        <f t="shared" si="1"/>
        <v>小池_美波</v>
      </c>
    </row>
    <row r="3" spans="1:83" x14ac:dyDescent="0.55000000000000004">
      <c r="A3" s="6" t="s">
        <v>205</v>
      </c>
      <c r="B3" s="32" t="s">
        <v>205</v>
      </c>
      <c r="C3" s="4">
        <v>45591</v>
      </c>
      <c r="D3" s="1" t="s">
        <v>206</v>
      </c>
      <c r="E3" s="1" t="s">
        <v>211</v>
      </c>
      <c r="F3" s="1" t="s">
        <v>212</v>
      </c>
      <c r="G3" s="1" t="s">
        <v>213</v>
      </c>
      <c r="H3" s="1" t="s">
        <v>207</v>
      </c>
      <c r="I3" s="1" t="s">
        <v>199</v>
      </c>
      <c r="R3" s="1" t="s">
        <v>199</v>
      </c>
    </row>
    <row r="4" spans="1:83" x14ac:dyDescent="0.55000000000000004">
      <c r="A4" s="6" t="s">
        <v>205</v>
      </c>
      <c r="B4" s="32" t="s">
        <v>205</v>
      </c>
      <c r="C4" s="4">
        <v>45591</v>
      </c>
      <c r="D4" s="1" t="s">
        <v>206</v>
      </c>
      <c r="E4" s="1" t="s">
        <v>211</v>
      </c>
      <c r="F4" s="1" t="s">
        <v>214</v>
      </c>
      <c r="G4" s="1" t="s">
        <v>215</v>
      </c>
      <c r="H4" s="1" t="s">
        <v>207</v>
      </c>
      <c r="I4" s="1" t="s">
        <v>199</v>
      </c>
      <c r="R4" s="1" t="s">
        <v>199</v>
      </c>
    </row>
    <row r="5" spans="1:83" x14ac:dyDescent="0.55000000000000004">
      <c r="A5" s="6" t="s">
        <v>205</v>
      </c>
      <c r="B5" s="32" t="s">
        <v>205</v>
      </c>
      <c r="C5" s="4">
        <v>45591</v>
      </c>
      <c r="D5" s="1" t="s">
        <v>206</v>
      </c>
      <c r="E5" s="1" t="s">
        <v>211</v>
      </c>
      <c r="F5" s="1" t="s">
        <v>216</v>
      </c>
      <c r="G5" s="1" t="s">
        <v>217</v>
      </c>
      <c r="H5" s="1" t="s">
        <v>207</v>
      </c>
      <c r="I5" s="1" t="s">
        <v>199</v>
      </c>
      <c r="R5" s="1" t="s">
        <v>199</v>
      </c>
    </row>
    <row r="6" spans="1:83" x14ac:dyDescent="0.55000000000000004">
      <c r="A6" s="6" t="s">
        <v>218</v>
      </c>
      <c r="B6" s="32" t="s">
        <v>219</v>
      </c>
      <c r="C6" s="4">
        <v>45591</v>
      </c>
      <c r="D6" s="1" t="s">
        <v>206</v>
      </c>
      <c r="E6" s="1" t="s">
        <v>211</v>
      </c>
      <c r="F6" s="1" t="s">
        <v>220</v>
      </c>
      <c r="G6" s="1" t="s">
        <v>221</v>
      </c>
      <c r="H6" s="1" t="s">
        <v>207</v>
      </c>
      <c r="I6" s="1" t="s">
        <v>199</v>
      </c>
      <c r="N6" s="1" t="s">
        <v>199</v>
      </c>
      <c r="Q6" s="1" t="s">
        <v>199</v>
      </c>
      <c r="R6" s="1" t="s">
        <v>199</v>
      </c>
      <c r="S6" s="1" t="s">
        <v>199</v>
      </c>
      <c r="U6" s="1" t="s">
        <v>199</v>
      </c>
      <c r="V6" s="1" t="s">
        <v>199</v>
      </c>
      <c r="W6" s="1" t="s">
        <v>199</v>
      </c>
      <c r="X6" s="1" t="s">
        <v>199</v>
      </c>
      <c r="AC6" s="1" t="s">
        <v>199</v>
      </c>
      <c r="AD6" s="1" t="s">
        <v>199</v>
      </c>
      <c r="AE6" s="1" t="s">
        <v>199</v>
      </c>
      <c r="AF6" s="1" t="s">
        <v>199</v>
      </c>
      <c r="AH6" s="1" t="s">
        <v>199</v>
      </c>
      <c r="AI6" s="1" t="s">
        <v>199</v>
      </c>
    </row>
  </sheetData>
  <sortState xmlns:xlrd2="http://schemas.microsoft.com/office/spreadsheetml/2017/richdata2" ref="A3:AU6">
    <sortCondition descending="1" ref="C3"/>
  </sortState>
  <phoneticPr fontId="1"/>
  <conditionalFormatting sqref="A4:E1048550">
    <cfRule type="expression" dxfId="4" priority="5">
      <formula>A3=A4</formula>
    </cfRule>
  </conditionalFormatting>
  <conditionalFormatting sqref="A1:B1048576">
    <cfRule type="expression" dxfId="3" priority="4">
      <formula>$A1&lt;&gt;""</formula>
    </cfRule>
  </conditionalFormatting>
  <conditionalFormatting sqref="C1048571:C1048576">
    <cfRule type="expression" dxfId="2" priority="16">
      <formula>C1048571=C18</formula>
    </cfRule>
  </conditionalFormatting>
  <conditionalFormatting sqref="C1048551:C1048570">
    <cfRule type="expression" dxfId="1" priority="26">
      <formula>C1048551=C1</formula>
    </cfRule>
  </conditionalFormatting>
  <conditionalFormatting sqref="E2:E1048576">
    <cfRule type="expression" dxfId="0" priority="1">
      <formula>E3=E4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F11" sqref="F11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8">
    <sortCondition ref="E3:E28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2025-03-17T10:50:00Z</dcterms:modified>
</cp:coreProperties>
</file>